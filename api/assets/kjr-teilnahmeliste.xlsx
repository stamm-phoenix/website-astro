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DieseArbeitsmappe"/>
  <mc:AlternateContent xmlns:mc="http://schemas.openxmlformats.org/markup-compatibility/2006">
    <mc:Choice Requires="x15">
      <x15ac:absPath xmlns:x15ac="http://schemas.microsoft.com/office/spreadsheetml/2010/11/ac" url="I:\200 ZUSCHUSSFORMULARE\Teilnahmeliste Veranstaltungen Zuschussportal\TNL Veranstaltung Überarbeitung 2024\"/>
    </mc:Choice>
  </mc:AlternateContent>
  <xr:revisionPtr revIDLastSave="0" documentId="13_ncr:1_{A790A630-5AF1-4D00-ADE0-B34209422EC5}" xr6:coauthVersionLast="47" xr6:coauthVersionMax="47" xr10:uidLastSave="{00000000-0000-0000-0000-000000000000}"/>
  <bookViews>
    <workbookView xWindow="28680" yWindow="-120" windowWidth="29040" windowHeight="18240" xr2:uid="{AC329A27-AAF9-4E16-AB63-487433A4D6BF}"/>
  </bookViews>
  <sheets>
    <sheet name="Erfassung Betreuer Teilnehmende" sheetId="1" r:id="rId1"/>
    <sheet name="Angaben für Online-Antrag" sheetId="2" r:id="rId2"/>
    <sheet name="Angaben f. Jugendhilfestatistik" sheetId="3" r:id="rId3"/>
    <sheet name="Hilfstabellen" sheetId="4" state="hidden" r:id="rId4"/>
  </sheets>
  <definedNames>
    <definedName name="Anfang">'Erfassung Betreuer Teilnehmende'!$D$9</definedName>
    <definedName name="Auswahl">tbl_Auswahl[Auswahl]</definedName>
    <definedName name="AW_X">Tabelle5[Auswahl]</definedName>
    <definedName name="BT">'Erfassung Betreuer Teilnehmende'!$D$34</definedName>
    <definedName name="Ende">'Erfassung Betreuer Teilnehmende'!$F$9</definedName>
    <definedName name="Geschlecht">tbl_Geschlecht[Geschlecht]</definedName>
    <definedName name="Organ">'Erfassung Betreuer Teilnehmende'!$D$5</definedName>
    <definedName name="Ort">'Erfassung Betreuer Teilnehmende'!$D$7</definedName>
    <definedName name="Personen">tbl_Personen[Personen]</definedName>
    <definedName name="PLZ">'Erfassung Betreuer Teilnehmende'!$D$8</definedName>
    <definedName name="SumA">'Erfassung Betreuer Teilnehmende'!$A$34</definedName>
    <definedName name="SumB">'Erfassung Betreuer Teilnehmende'!$A$161</definedName>
    <definedName name="Teil1">'Erfassung Betreuer Teilnehmende'!$A$12</definedName>
    <definedName name="Teil2">'Erfassung Betreuer Teilnehmende'!$A$40</definedName>
    <definedName name="Titel">'Erfassung Betreuer Teilnehmende'!$D$6</definedName>
    <definedName name="TN_F1">'Erfassung Betreuer Teilnehmende'!$N$162</definedName>
    <definedName name="TN_F2">'Erfassung Betreuer Teilnehmende'!#REF!</definedName>
    <definedName name="TN_LK">'Erfassung Betreuer Teilnehmende'!$H$162</definedName>
    <definedName name="TN_NLK">'Erfassung Betreuer Teilnehmende'!$L$162</definedName>
    <definedName name="TN_Stadt">'Erfassung Betreuer Teilnehmende'!$J$162</definedName>
    <definedName name="Ü2">'Erfassung Betreuer Teilnehmende'!$A$40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1" l="1"/>
  <c r="G17" i="1"/>
  <c r="G45" i="1"/>
  <c r="G46" i="1"/>
  <c r="G47" i="1"/>
  <c r="G48" i="1"/>
  <c r="G81" i="1"/>
  <c r="G42" i="1"/>
  <c r="G44" i="1"/>
  <c r="B48" i="3"/>
  <c r="B47" i="3"/>
  <c r="B46" i="3"/>
  <c r="B45" i="3"/>
  <c r="B44" i="3"/>
  <c r="B43" i="3"/>
  <c r="D37" i="3"/>
  <c r="C37" i="3"/>
  <c r="B37" i="3"/>
  <c r="D36" i="3"/>
  <c r="C36" i="3"/>
  <c r="B36" i="3"/>
  <c r="D26" i="3"/>
  <c r="C26" i="3"/>
  <c r="C27" i="3" s="1"/>
  <c r="B26" i="3"/>
  <c r="D30" i="3"/>
  <c r="C30" i="3"/>
  <c r="B30" i="3"/>
  <c r="G14" i="1"/>
  <c r="G43" i="1"/>
  <c r="G49" i="1"/>
  <c r="G50" i="1"/>
  <c r="G15" i="1"/>
  <c r="G13" i="1"/>
  <c r="B27" i="3" l="1"/>
  <c r="B28" i="3" s="1"/>
  <c r="D27" i="3"/>
  <c r="C28" i="3"/>
  <c r="C29" i="3" s="1"/>
  <c r="D28" i="3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52" i="1"/>
  <c r="G41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42" i="1"/>
  <c r="L41" i="1"/>
  <c r="G51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D29" i="3" l="1"/>
  <c r="B29" i="3"/>
  <c r="N161" i="1"/>
  <c r="B18" i="2" s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43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J41" i="1"/>
  <c r="J42" i="1"/>
  <c r="K161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87" i="1"/>
  <c r="H89" i="1"/>
  <c r="H88" i="1"/>
  <c r="A13" i="1"/>
  <c r="K2" i="4" a="1"/>
  <c r="K2" i="4" s="1"/>
  <c r="C11" i="2"/>
  <c r="B11" i="2"/>
  <c r="B10" i="2"/>
  <c r="B9" i="2"/>
  <c r="B8" i="2"/>
  <c r="B7" i="2"/>
  <c r="B8" i="3"/>
  <c r="J162" i="1" l="1"/>
  <c r="B16" i="2" s="1"/>
  <c r="H162" i="1"/>
  <c r="L162" i="1" s="1"/>
  <c r="J161" i="1"/>
  <c r="K163" i="1" s="1"/>
  <c r="A19" i="1"/>
  <c r="A17" i="1"/>
  <c r="A18" i="1"/>
  <c r="A16" i="1"/>
  <c r="A14" i="1"/>
  <c r="A15" i="1" s="1"/>
  <c r="A20" i="1" l="1"/>
  <c r="A21" i="1" s="1"/>
  <c r="A22" i="1" s="1"/>
  <c r="A23" i="1" l="1"/>
  <c r="A24" i="1"/>
  <c r="A25" i="1" s="1"/>
  <c r="A33" i="1"/>
  <c r="A41" i="1"/>
  <c r="A42" i="1" l="1"/>
  <c r="A43" i="1" s="1"/>
  <c r="A44" i="1" s="1"/>
  <c r="A26" i="1"/>
  <c r="A27" i="1" s="1"/>
  <c r="A28" i="1" s="1"/>
  <c r="L161" i="1"/>
  <c r="B17" i="2" s="1"/>
  <c r="C9" i="3"/>
  <c r="B9" i="3"/>
  <c r="B7" i="3"/>
  <c r="B6" i="3"/>
  <c r="B5" i="3"/>
  <c r="A45" i="1" l="1"/>
  <c r="A46" i="1" s="1"/>
  <c r="A47" i="1"/>
  <c r="A48" i="1"/>
  <c r="A29" i="1"/>
  <c r="A30" i="1" s="1"/>
  <c r="A31" i="1" s="1"/>
  <c r="A49" i="1" l="1"/>
  <c r="A32" i="1"/>
  <c r="C19" i="3"/>
  <c r="D19" i="3"/>
  <c r="B19" i="3"/>
  <c r="C15" i="3"/>
  <c r="C16" i="3" s="1"/>
  <c r="C17" i="3" s="1"/>
  <c r="D15" i="3"/>
  <c r="D16" i="3" s="1"/>
  <c r="B15" i="3"/>
  <c r="E15" i="3" s="1"/>
  <c r="E19" i="3" l="1"/>
  <c r="A50" i="1"/>
  <c r="A51" i="1"/>
  <c r="C18" i="3"/>
  <c r="D17" i="3"/>
  <c r="D18" i="3" s="1"/>
  <c r="B16" i="3"/>
  <c r="B17" i="3" l="1"/>
  <c r="E17" i="3" s="1"/>
  <c r="E16" i="3"/>
  <c r="A53" i="1"/>
  <c r="A52" i="1"/>
  <c r="B18" i="3"/>
  <c r="E18" i="3" s="1"/>
  <c r="A54" i="1" l="1"/>
  <c r="A55" i="1" l="1"/>
  <c r="I161" i="1"/>
  <c r="M161" i="1"/>
  <c r="H34" i="1"/>
  <c r="C20" i="3"/>
  <c r="D20" i="3"/>
  <c r="B20" i="3"/>
  <c r="C31" i="3"/>
  <c r="D31" i="3"/>
  <c r="B31" i="3"/>
  <c r="C38" i="3"/>
  <c r="D38" i="3"/>
  <c r="B38" i="3"/>
  <c r="E20" i="3" l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D161" i="1" s="1"/>
  <c r="D34" i="1"/>
  <c r="B19" i="2" s="1"/>
  <c r="H35" i="1" l="1"/>
  <c r="M163" i="1"/>
  <c r="H161" i="1"/>
  <c r="I163" i="1" s="1"/>
  <c r="B1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Unger</author>
    <author>Autor</author>
    <author>MoreBUSINESS GmbH</author>
    <author>Juliane Mitterer</author>
  </authors>
  <commentList>
    <comment ref="B11" authorId="0" shapeId="0" xr:uid="{F66B457C-2229-42DF-ABCB-56114159A2D8}">
      <text>
        <r>
          <rPr>
            <sz val="10"/>
            <color indexed="81"/>
            <rFont val="Segoe UI"/>
            <family val="2"/>
          </rPr>
          <t>Hier bitte die Betreuer*innen eingeben, die tatsächlich an der Veranstaltung teilgenommen haben. Das Mindestalter für Betreuer*innen beträgt 16 Jahre! Geringfügige Unterschreitung ist möglich.</t>
        </r>
      </text>
    </comment>
    <comment ref="A12" authorId="1" shapeId="0" xr:uid="{D2C8AA2D-8080-4528-BAE3-D8E1A11E2ECD}">
      <text>
        <r>
          <rPr>
            <sz val="10"/>
            <color indexed="81"/>
            <rFont val="Segoe UI"/>
            <family val="2"/>
          </rPr>
          <t>Lfd. Nr. wird automatisch vergeben.</t>
        </r>
      </text>
    </comment>
    <comment ref="D12" authorId="1" shapeId="0" xr:uid="{032891AD-89F8-4382-BF6F-F2C6094A4C0E}">
      <text>
        <r>
          <rPr>
            <b/>
            <sz val="10"/>
            <color indexed="81"/>
            <rFont val="Segoe UI"/>
            <family val="2"/>
          </rPr>
          <t>Bitte über die Dropdownbox 
auswählen</t>
        </r>
        <r>
          <rPr>
            <sz val="10"/>
            <color indexed="81"/>
            <rFont val="Segoe UI"/>
            <family val="2"/>
          </rPr>
          <t>: m/w/d</t>
        </r>
      </text>
    </comment>
    <comment ref="E12" authorId="0" shapeId="0" xr:uid="{9EE85AA3-4ECC-43F5-9350-56312FD46AA7}">
      <text>
        <r>
          <rPr>
            <sz val="10"/>
            <color indexed="81"/>
            <rFont val="Segoe UI"/>
            <family val="2"/>
          </rPr>
          <t>Das Mindestalter für Betreuer*innen beträgt 16 Jahre! Geringfügige Unterschreitung ist möglich.</t>
        </r>
      </text>
    </comment>
    <comment ref="G12" authorId="0" shapeId="0" xr:uid="{8273D4C8-AED9-467E-AA65-6BB18B4E1699}">
      <text>
        <r>
          <rPr>
            <sz val="10"/>
            <color indexed="81"/>
            <rFont val="Segoe UI"/>
            <family val="2"/>
          </rPr>
          <t>Der Ort wird nach Eingabe der PLZ automatisch ausgefüllt. Wenn "#NV" angezeigt wird, bitte den Ort ergänzen.</t>
        </r>
      </text>
    </comment>
    <comment ref="H12" authorId="1" shapeId="0" xr:uid="{4ED7EA52-3DBB-46BA-BABB-DC35FA3152FA}">
      <text>
        <r>
          <rPr>
            <b/>
            <sz val="10"/>
            <color indexed="81"/>
            <rFont val="Segoe UI"/>
            <family val="2"/>
          </rPr>
          <t>Eintägige Veranstaltung:</t>
        </r>
        <r>
          <rPr>
            <sz val="10"/>
            <color indexed="81"/>
            <rFont val="Segoe UI"/>
            <family val="2"/>
          </rPr>
          <t xml:space="preserve"> Hier ist keine Eingabe notwendig!
</t>
        </r>
        <r>
          <rPr>
            <b/>
            <sz val="10"/>
            <color indexed="81"/>
            <rFont val="Segoe UI"/>
            <family val="2"/>
          </rPr>
          <t xml:space="preserve">Veranstaltungen </t>
        </r>
        <r>
          <rPr>
            <b/>
            <u/>
            <sz val="10"/>
            <color indexed="81"/>
            <rFont val="Segoe UI"/>
            <family val="2"/>
          </rPr>
          <t>MIT</t>
        </r>
        <r>
          <rPr>
            <b/>
            <sz val="10"/>
            <color indexed="81"/>
            <rFont val="Segoe UI"/>
            <family val="2"/>
          </rPr>
          <t xml:space="preserve"> Übernachtung:</t>
        </r>
        <r>
          <rPr>
            <sz val="10"/>
            <color indexed="81"/>
            <rFont val="Segoe UI"/>
            <family val="2"/>
          </rPr>
          <t xml:space="preserve"> Anzahl der Übernachtungen eingeben
</t>
        </r>
        <r>
          <rPr>
            <b/>
            <sz val="10"/>
            <color indexed="81"/>
            <rFont val="Segoe UI"/>
            <family val="2"/>
          </rPr>
          <t xml:space="preserve">Mehrtägige Veranstaltungen </t>
        </r>
        <r>
          <rPr>
            <b/>
            <u/>
            <sz val="10"/>
            <color indexed="81"/>
            <rFont val="Segoe UI"/>
            <family val="2"/>
          </rPr>
          <t>OHNE</t>
        </r>
        <r>
          <rPr>
            <b/>
            <sz val="10"/>
            <color indexed="81"/>
            <rFont val="Segoe UI"/>
            <family val="2"/>
          </rPr>
          <t xml:space="preserve"> Übernachtung:</t>
        </r>
        <r>
          <rPr>
            <sz val="10"/>
            <color indexed="81"/>
            <rFont val="Segoe UI"/>
            <family val="2"/>
          </rPr>
          <t xml:space="preserve"> Anwesenheitstage eingeben </t>
        </r>
      </text>
    </comment>
    <comment ref="I12" authorId="2" shapeId="0" xr:uid="{50E528CD-3E36-4A54-ACA1-FB2EA9089CD2}">
      <text>
        <r>
          <rPr>
            <b/>
            <sz val="10"/>
            <color indexed="81"/>
            <rFont val="Segoe UI"/>
            <family val="2"/>
          </rPr>
          <t>Bitte über Dropdownfeld auswählen:</t>
        </r>
        <r>
          <rPr>
            <sz val="10"/>
            <color indexed="81"/>
            <rFont val="Segoe UI"/>
            <family val="2"/>
          </rPr>
          <t xml:space="preserve">
ja oder nein</t>
        </r>
      </text>
    </comment>
    <comment ref="J12" authorId="0" shapeId="0" xr:uid="{D337D486-1F93-404D-ADC7-40CC76B9CFBC}">
      <text>
        <r>
          <rPr>
            <b/>
            <sz val="10"/>
            <color indexed="81"/>
            <rFont val="Segoe UI"/>
            <family val="2"/>
          </rPr>
          <t xml:space="preserve">Bitte über Dropdownfeld auswählen: </t>
        </r>
        <r>
          <rPr>
            <sz val="10"/>
            <color indexed="81"/>
            <rFont val="Segoe UI"/>
            <family val="2"/>
          </rPr>
          <t xml:space="preserve">
ja oder nein</t>
        </r>
      </text>
    </comment>
    <comment ref="K12" authorId="0" shapeId="0" xr:uid="{6528EB42-1B44-49B8-AAF3-3A176F949F8F}">
      <text>
        <r>
          <rPr>
            <b/>
            <sz val="10"/>
            <color indexed="81"/>
            <rFont val="Segoe UI"/>
            <family val="2"/>
          </rPr>
          <t>Bitte über Dropdownbox ausfüllen.</t>
        </r>
      </text>
    </comment>
    <comment ref="H34" authorId="1" shapeId="0" xr:uid="{10A76973-D6F8-4766-B233-4DA1852FD5A3}">
      <text>
        <r>
          <rPr>
            <sz val="9"/>
            <color indexed="81"/>
            <rFont val="Segoe UI"/>
            <family val="2"/>
          </rPr>
          <t xml:space="preserve">Dient dem KJR als Kontrollsumme und zwar Vergleich der eingegebenen 
Übernachtungen zu der rechnerisch möglichen Zahl der Übernachtungen. 
Wenn die Abweichung erheblich ist, kann der KJR die Zuschusssumme berichtigen. </t>
        </r>
      </text>
    </comment>
    <comment ref="H35" authorId="1" shapeId="0" xr:uid="{7561D235-FC27-4E57-8DC0-6A5C735C7907}">
      <text>
        <r>
          <rPr>
            <sz val="9"/>
            <color indexed="81"/>
            <rFont val="Segoe UI"/>
            <family val="2"/>
          </rPr>
          <t xml:space="preserve">Dient dem KJR als Kontrollsumme und zwar Vergleich der eingegebenen 
Übernachtungen zu der rechnerisch möglichen Zahl der Übernachtungen. 
Wenn die Abweichung erheblich ist, kann der KJR die Zuschusssumme berichtigen.  </t>
        </r>
      </text>
    </comment>
    <comment ref="A40" authorId="1" shapeId="0" xr:uid="{4216E2F6-AD27-4324-9FF6-F7A2E9890448}">
      <text>
        <r>
          <rPr>
            <sz val="10"/>
            <color indexed="81"/>
            <rFont val="Segoe UI"/>
            <family val="2"/>
          </rPr>
          <t>Lfd. Nr. wird
automatisch vergeben.</t>
        </r>
      </text>
    </comment>
    <comment ref="D40" authorId="1" shapeId="0" xr:uid="{48A09986-DAD9-40C9-BAC9-283D9D172DE7}">
      <text>
        <r>
          <rPr>
            <b/>
            <sz val="10"/>
            <color indexed="81"/>
            <rFont val="Segoe UI"/>
            <family val="2"/>
          </rPr>
          <t>Bitte über die 
Dropdownbox 
auswählen:</t>
        </r>
        <r>
          <rPr>
            <sz val="10"/>
            <color indexed="81"/>
            <rFont val="Segoe UI"/>
            <family val="2"/>
          </rPr>
          <t xml:space="preserve">
m/w/d</t>
        </r>
      </text>
    </comment>
    <comment ref="E40" authorId="1" shapeId="0" xr:uid="{816BA5DC-16E0-4876-ADB9-888B54BE918C}">
      <text>
        <r>
          <rPr>
            <b/>
            <sz val="10"/>
            <color indexed="81"/>
            <rFont val="Segoe UI"/>
            <family val="2"/>
          </rPr>
          <t>Die Teilnehmenden müssen im Landkreis oder der Stadt Rosenheim wohnen und dürfen nicht älter als 26 Jahre sein. 
Außerdem können 10 % der Gesamt-Teilnehmenden aus einem anderen Landkreis gefördert werden.
Mindestalter: 4 Jahre</t>
        </r>
      </text>
    </comment>
    <comment ref="G40" authorId="0" shapeId="0" xr:uid="{0E1ABFA6-32F1-40E5-835B-A87B25FA47CF}">
      <text>
        <r>
          <rPr>
            <sz val="10"/>
            <color indexed="81"/>
            <rFont val="Segoe UI"/>
            <family val="2"/>
          </rPr>
          <t>Der Ort wird nach Eingabe der PLZ automatisch ausgefüllt. Wenn "#NV" angezeigt wird, bitte den Ort ergänzen.</t>
        </r>
      </text>
    </comment>
    <comment ref="H40" authorId="1" shapeId="0" xr:uid="{8E34C7A0-C017-4E04-B139-CA5658EB9C91}">
      <text>
        <r>
          <rPr>
            <sz val="10"/>
            <color indexed="81"/>
            <rFont val="Segoe UI"/>
            <family val="2"/>
          </rPr>
          <t>Der Zuschuss errechnet sich nach der Anzahl der Teilnehmenden aus dem Landkreis Rosenheim.</t>
        </r>
      </text>
    </comment>
    <comment ref="I40" authorId="1" shapeId="0" xr:uid="{CB2342F1-FC11-4ADD-9DDE-BCDC4DD9925E}">
      <text>
        <r>
          <rPr>
            <b/>
            <sz val="10"/>
            <color indexed="81"/>
            <rFont val="Segoe UI"/>
            <family val="2"/>
          </rPr>
          <t>Eintägige Veranstaltungen:</t>
        </r>
        <r>
          <rPr>
            <sz val="10"/>
            <color indexed="81"/>
            <rFont val="Segoe UI"/>
            <family val="2"/>
          </rPr>
          <t xml:space="preserve"> Hier ist keine Eingabe notwendig!
</t>
        </r>
        <r>
          <rPr>
            <b/>
            <sz val="10"/>
            <color indexed="81"/>
            <rFont val="Segoe UI"/>
            <family val="2"/>
          </rPr>
          <t xml:space="preserve">Veranstaltungen </t>
        </r>
        <r>
          <rPr>
            <b/>
            <u/>
            <sz val="10"/>
            <color indexed="81"/>
            <rFont val="Segoe UI"/>
            <family val="2"/>
          </rPr>
          <t>MIT</t>
        </r>
        <r>
          <rPr>
            <b/>
            <sz val="10"/>
            <color indexed="81"/>
            <rFont val="Segoe UI"/>
            <family val="2"/>
          </rPr>
          <t xml:space="preserve"> Übernachtung:</t>
        </r>
        <r>
          <rPr>
            <sz val="10"/>
            <color indexed="81"/>
            <rFont val="Segoe UI"/>
            <family val="2"/>
          </rPr>
          <t xml:space="preserve"> Anzahl der Übernachtungen eingeben.
</t>
        </r>
        <r>
          <rPr>
            <b/>
            <sz val="10"/>
            <color indexed="81"/>
            <rFont val="Segoe UI"/>
            <family val="2"/>
          </rPr>
          <t>Mehrtägige</t>
        </r>
        <r>
          <rPr>
            <sz val="10"/>
            <color indexed="81"/>
            <rFont val="Segoe UI"/>
            <family val="2"/>
          </rPr>
          <t xml:space="preserve"> </t>
        </r>
        <r>
          <rPr>
            <b/>
            <sz val="10"/>
            <color indexed="81"/>
            <rFont val="Segoe UI"/>
            <family val="2"/>
          </rPr>
          <t xml:space="preserve">Veranstaltungen </t>
        </r>
        <r>
          <rPr>
            <b/>
            <u/>
            <sz val="10"/>
            <color indexed="81"/>
            <rFont val="Segoe UI"/>
            <family val="2"/>
          </rPr>
          <t>OHNE</t>
        </r>
        <r>
          <rPr>
            <b/>
            <sz val="10"/>
            <color indexed="81"/>
            <rFont val="Segoe UI"/>
            <family val="2"/>
          </rPr>
          <t xml:space="preserve"> Übernachtung: </t>
        </r>
        <r>
          <rPr>
            <sz val="10"/>
            <color indexed="81"/>
            <rFont val="Segoe UI"/>
            <family val="2"/>
          </rPr>
          <t>Anwesenheitstage angeben</t>
        </r>
      </text>
    </comment>
    <comment ref="J40" authorId="1" shapeId="0" xr:uid="{10E2832D-2A8B-47F3-8FA4-BF83F7E04140}">
      <text>
        <r>
          <rPr>
            <sz val="10"/>
            <color indexed="81"/>
            <rFont val="Segoe UI"/>
            <family val="2"/>
          </rPr>
          <t>Der Zuschuss errechnet sich nach der Anzahl 
der Teilnehmenden aus der Stadt Rosenheim
pro Nacht und Teilnehmer*in 6,-€. Maximal sind
15 Nächte möglich!</t>
        </r>
      </text>
    </comment>
    <comment ref="K40" authorId="3" shapeId="0" xr:uid="{46D2B7F9-DDEC-4520-A97C-E857F2EF9C1B}">
      <text>
        <r>
          <rPr>
            <b/>
            <sz val="10"/>
            <color indexed="81"/>
            <rFont val="Segoe UI"/>
            <family val="2"/>
          </rPr>
          <t xml:space="preserve">Eintägige Veranstaltungen: </t>
        </r>
        <r>
          <rPr>
            <sz val="10"/>
            <color indexed="81"/>
            <rFont val="Segoe UI"/>
            <family val="2"/>
          </rPr>
          <t>Hier ist keine Eingabe notwendig!</t>
        </r>
        <r>
          <rPr>
            <b/>
            <sz val="10"/>
            <color indexed="81"/>
            <rFont val="Segoe UI"/>
            <family val="2"/>
          </rPr>
          <t xml:space="preserve">
Veranstaltungen MIT Übernachtung: </t>
        </r>
        <r>
          <rPr>
            <sz val="10"/>
            <color indexed="81"/>
            <rFont val="Segoe UI"/>
            <family val="2"/>
          </rPr>
          <t>Anzahl der Übernachtungen eingeben.</t>
        </r>
        <r>
          <rPr>
            <b/>
            <sz val="10"/>
            <color indexed="81"/>
            <rFont val="Segoe UI"/>
            <family val="2"/>
          </rPr>
          <t xml:space="preserve">
Mehrtägige Veranstaltungen OHNE Übernachtung: </t>
        </r>
        <r>
          <rPr>
            <sz val="10"/>
            <color indexed="81"/>
            <rFont val="Segoe UI"/>
            <family val="2"/>
          </rPr>
          <t>Anwesenheitstage angeben</t>
        </r>
      </text>
    </comment>
    <comment ref="L40" authorId="1" shapeId="0" xr:uid="{16F07E76-CDFD-434B-9B24-5190F90186A5}">
      <text>
        <r>
          <rPr>
            <sz val="10"/>
            <color indexed="81"/>
            <rFont val="Segoe UI"/>
            <family val="2"/>
          </rPr>
          <t>Es können 10 % der Gesamt-teilnehmerzahl auch aus einem anderen Landkreis
gefördert werden.</t>
        </r>
      </text>
    </comment>
    <comment ref="M40" authorId="3" shapeId="0" xr:uid="{7EFEE58F-7439-4F2B-9135-E738FC04D8C8}">
      <text>
        <r>
          <rPr>
            <b/>
            <sz val="10"/>
            <color indexed="81"/>
            <rFont val="Segoe UI"/>
            <family val="2"/>
          </rPr>
          <t>Eintägige Veranstaltungen:</t>
        </r>
        <r>
          <rPr>
            <sz val="10"/>
            <color indexed="81"/>
            <rFont val="Segoe UI"/>
            <family val="2"/>
          </rPr>
          <t xml:space="preserve"> Hier ist keine Eingabe notwendig!
</t>
        </r>
        <r>
          <rPr>
            <b/>
            <sz val="10"/>
            <color indexed="81"/>
            <rFont val="Segoe UI"/>
            <family val="2"/>
          </rPr>
          <t xml:space="preserve">Veranstaltungen MIT Übernachtung: </t>
        </r>
        <r>
          <rPr>
            <sz val="10"/>
            <color indexed="81"/>
            <rFont val="Segoe UI"/>
            <family val="2"/>
          </rPr>
          <t xml:space="preserve">Anzahl der Übernachtungen eingeben.
</t>
        </r>
        <r>
          <rPr>
            <b/>
            <sz val="10"/>
            <color indexed="81"/>
            <rFont val="Segoe UI"/>
            <family val="2"/>
          </rPr>
          <t xml:space="preserve">Mehrtägige Veranstaltungen OHNE Übernachtung: </t>
        </r>
        <r>
          <rPr>
            <sz val="10"/>
            <color indexed="81"/>
            <rFont val="Segoe UI"/>
            <family val="2"/>
          </rPr>
          <t>Anwesenheitstage angeben</t>
        </r>
      </text>
    </comment>
    <comment ref="N40" authorId="1" shapeId="0" xr:uid="{E12A3837-5977-4660-90B4-9B4AFA414747}">
      <text>
        <r>
          <rPr>
            <b/>
            <sz val="10"/>
            <color indexed="81"/>
            <rFont val="Segoe UI"/>
            <family val="2"/>
          </rPr>
          <t>Hier Betrag eingeben.</t>
        </r>
        <r>
          <rPr>
            <sz val="10"/>
            <color indexed="81"/>
            <rFont val="Segoe UI"/>
            <family val="2"/>
          </rPr>
          <t xml:space="preserve">
Bitte Richtlinien beachten!
Im Antrag die Summe, Begründung und den geleisteten Eigenanteil angeben. Der Vorstand entscheidet nach Antragstellung.</t>
        </r>
      </text>
    </comment>
    <comment ref="I161" authorId="1" shapeId="0" xr:uid="{6A397932-F986-47B9-829D-0E15175ACF9B}">
      <text>
        <r>
          <rPr>
            <sz val="10"/>
            <color indexed="81"/>
            <rFont val="Segoe UI"/>
            <family val="2"/>
          </rPr>
          <t xml:space="preserve">Dient dem KJR als Kontrollsumme und zwar Vergleich der eingegebenen Übernachtungen
zu der rechnerisch mögliche Zahl der Übernachtungen. Wenn die Abweichung erheblich ist, 
kann der KJR die Zuschusssumme berichtigen. </t>
        </r>
      </text>
    </comment>
    <comment ref="K161" authorId="1" shapeId="0" xr:uid="{E4261C8B-252B-42F8-A85D-FD36DCA26176}">
      <text>
        <r>
          <rPr>
            <sz val="10"/>
            <color indexed="81"/>
            <rFont val="Segoe UI"/>
            <family val="2"/>
          </rPr>
          <t xml:space="preserve">Dient dem KJR als Kontrollsumme und zwar Vergleich der eingegebenen Übernachtungen 
zu der rechnerisch mögliche Zahl der Übernachtungen. Wenn die Abweichung erheblich ist, 
kann der KJR die Zuschusssumme berichtigen. </t>
        </r>
      </text>
    </comment>
    <comment ref="M161" authorId="1" shapeId="0" xr:uid="{F2FE1DBB-39FC-453A-9781-657673AC84BF}">
      <text>
        <r>
          <rPr>
            <sz val="10"/>
            <color indexed="81"/>
            <rFont val="Segoe UI"/>
            <family val="2"/>
          </rPr>
          <t xml:space="preserve">Dient dem KJR als Kontrollsumme und zwar Vergleich der eingegebenen Übernachtungen 
zu der rechnerisch mögliche Zahl der Übernachtungen. Wenn die Abweichung erheblich ist, 
kann der KJR die Zuschusssumme berichtigen. </t>
        </r>
      </text>
    </comment>
    <comment ref="I163" authorId="1" shapeId="0" xr:uid="{6E775652-C829-4DB3-8990-DB57C10E29B6}">
      <text>
        <r>
          <rPr>
            <sz val="10"/>
            <color indexed="81"/>
            <rFont val="Segoe UI"/>
            <family val="2"/>
          </rPr>
          <t>Dient dem KJR als Kontrollsumme und zwar Vergleich der eingegebenen 
Übernachtungen zu der rechnerisch mögliche Zahl der Übernachtungen. 
Wenn die Abweichung erheblich ist, kann der KJR die Zuschusssumme berichtigen</t>
        </r>
        <r>
          <rPr>
            <sz val="9"/>
            <color indexed="81"/>
            <rFont val="Segoe UI"/>
            <family val="2"/>
          </rPr>
          <t xml:space="preserve">.  </t>
        </r>
      </text>
    </comment>
    <comment ref="K163" authorId="1" shapeId="0" xr:uid="{F819FC3A-0122-445C-A2D9-5B0981FEA962}">
      <text>
        <r>
          <rPr>
            <sz val="10"/>
            <color indexed="81"/>
            <rFont val="Segoe UI"/>
            <family val="2"/>
          </rPr>
          <t>Dient dem KJR als Kontrollsumme und zwar Vergleich der eingegebenen 
Übernachtungen zu der rechnerisch mögliche Zahl der Übernachtungen. 
Wenn die Abweichung erheblich ist, kann der KJR die Zuschusssumme berichtigen</t>
        </r>
        <r>
          <rPr>
            <sz val="9"/>
            <color indexed="81"/>
            <rFont val="Segoe UI"/>
            <family val="2"/>
          </rPr>
          <t xml:space="preserve">.  </t>
        </r>
      </text>
    </comment>
    <comment ref="M163" authorId="1" shapeId="0" xr:uid="{C2ED22A3-ACE1-4DBF-A8FB-DEC9F46C4DA4}">
      <text>
        <r>
          <rPr>
            <sz val="10"/>
            <color indexed="81"/>
            <rFont val="Segoe UI"/>
            <family val="2"/>
          </rPr>
          <t>Dient dem KJR als Kontrollsumme und zwar Vergleich der eingegebenen 
Übernachtungen zu der rechnerisch mögliche Zahl der Übernachtungen. 
Wenn die Abweichung erheblich ist, kann der KJR die Zuschusssumme berichtigen.</t>
        </r>
        <r>
          <rPr>
            <sz val="9"/>
            <color indexed="81"/>
            <rFont val="Segoe UI"/>
            <family val="2"/>
          </rPr>
          <t xml:space="preserve"> 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<sst xmlns="http://schemas.openxmlformats.org/spreadsheetml/2006/main" count="180" uniqueCount="141">
  <si>
    <t>Vorname</t>
  </si>
  <si>
    <t>PLZ</t>
  </si>
  <si>
    <t>Ort</t>
  </si>
  <si>
    <t>lfd. Nr.</t>
  </si>
  <si>
    <t>Alter</t>
  </si>
  <si>
    <t>Geschlecht m/w/d</t>
  </si>
  <si>
    <t>sonstige pädagogisch tätige Person, wie z.B. Honorarkraft, bitte Auswahl treffen</t>
  </si>
  <si>
    <t>angestellt bei der durchführenden Organisation als haupt- und/oder nebenberuflich pädagogisch tätige Person</t>
  </si>
  <si>
    <t>Teilnehmer*innen aus anderen Landkreisen</t>
  </si>
  <si>
    <t>Ergebnisse für Übertrag in den Zuschussantrag</t>
  </si>
  <si>
    <t>Teilnehmer*innen</t>
  </si>
  <si>
    <t>aus anderen Städten/Landkreisen</t>
  </si>
  <si>
    <t>Anzahl</t>
  </si>
  <si>
    <t>Datum:</t>
  </si>
  <si>
    <t>Beginn:</t>
  </si>
  <si>
    <t>Ende:</t>
  </si>
  <si>
    <t>Betreuer*innen</t>
  </si>
  <si>
    <t xml:space="preserve">Anzahl der Teilnehmer*innen im Alter von </t>
  </si>
  <si>
    <t>weiblich</t>
  </si>
  <si>
    <t>männlich</t>
  </si>
  <si>
    <t>divers</t>
  </si>
  <si>
    <t>0 bis unter 10 Jahren</t>
  </si>
  <si>
    <t>10 bis unter 14 Jahren</t>
  </si>
  <si>
    <t>14 bis unter 18 Jahren</t>
  </si>
  <si>
    <t>18 bis unter 27 Jahren</t>
  </si>
  <si>
    <t>27 Jahren und älter</t>
  </si>
  <si>
    <t>Teilnehmer*innen insgesamt</t>
  </si>
  <si>
    <t>Ergebnis zur Teilnehmer*innenstruktur</t>
  </si>
  <si>
    <t xml:space="preserve">Anzahl der Jugendleiter*innen im Alter von </t>
  </si>
  <si>
    <t>Unter 16 Jahren</t>
  </si>
  <si>
    <t>16 bis unter 18 Jahre</t>
  </si>
  <si>
    <t>27 bis unter 45 Jahren</t>
  </si>
  <si>
    <t>45 Jahre und älter</t>
  </si>
  <si>
    <t>Jugendleiter*innen insgesamt</t>
  </si>
  <si>
    <t>Statistische Ergebnisse zu den Teilnehmenden:</t>
  </si>
  <si>
    <t xml:space="preserve">Anzahl der Personen im Alter von </t>
  </si>
  <si>
    <t>Unter 45 Jahren</t>
  </si>
  <si>
    <t>45 Jahren oder älter</t>
  </si>
  <si>
    <t>Personen insgesamt</t>
  </si>
  <si>
    <t>Beschreibung der Person (Mehrfachnennungen sind möglich):</t>
  </si>
  <si>
    <t>Honorarkräfte</t>
  </si>
  <si>
    <t>Geringfügig Beschäftigte</t>
  </si>
  <si>
    <t>Personen im FSJ/FÖJ</t>
  </si>
  <si>
    <t>Personen im BFD</t>
  </si>
  <si>
    <t>Personen im Praktikum</t>
  </si>
  <si>
    <t>Sonstige Personen </t>
  </si>
  <si>
    <t>Statistische Ergebnisse zu sonstigen pädagogisch tätigen Personen</t>
  </si>
  <si>
    <t>Statistisches Ergebnis zu ehrenamtlich tätige*r Betreuer*in                                                           (ehrenamtlichen, pädagogisch tätigem Personen=Jugendleiter*innen)</t>
  </si>
  <si>
    <t>Statistische Ergebnisse zu den Betreuer*innen:</t>
  </si>
  <si>
    <t>Sonstige Personen</t>
  </si>
  <si>
    <t>Personen</t>
  </si>
  <si>
    <t>Geschlecht</t>
  </si>
  <si>
    <t>m</t>
  </si>
  <si>
    <t>w</t>
  </si>
  <si>
    <t>d</t>
  </si>
  <si>
    <t>Kontrollsummen:</t>
  </si>
  <si>
    <t>Auswahl</t>
  </si>
  <si>
    <t>X</t>
  </si>
  <si>
    <t>Statistische Ergebnisse zu Angestellte bei der durchführenden Organisation als haupt- und/oder nebenberuflich pädagogisch tätige Person (haupt- und/oder nebenberuflich pädagogisch tätigen Personen)</t>
  </si>
  <si>
    <t>davon bezuschussbar:</t>
  </si>
  <si>
    <t>ja</t>
  </si>
  <si>
    <t>nein</t>
  </si>
  <si>
    <t>—</t>
  </si>
  <si>
    <t>Veranstaltungsort:</t>
  </si>
  <si>
    <t>Postleitzahl:</t>
  </si>
  <si>
    <t>Kiefersfelden</t>
  </si>
  <si>
    <t>Oberaudorf</t>
  </si>
  <si>
    <t>Flintsbach</t>
  </si>
  <si>
    <t>Brannenburg</t>
  </si>
  <si>
    <t>Nußdorf/Inn</t>
  </si>
  <si>
    <t>Raubling</t>
  </si>
  <si>
    <t>Bad Feilnbach</t>
  </si>
  <si>
    <t>Neubeuern</t>
  </si>
  <si>
    <t>Samerberg</t>
  </si>
  <si>
    <t>Rohrdorf</t>
  </si>
  <si>
    <t>Frasdorf</t>
  </si>
  <si>
    <t>Aschau/Chiemgau</t>
  </si>
  <si>
    <t>Bernau</t>
  </si>
  <si>
    <t>Albaching</t>
  </si>
  <si>
    <t>Amerang</t>
  </si>
  <si>
    <t>Babensham</t>
  </si>
  <si>
    <t>Bad Aibling</t>
  </si>
  <si>
    <t>Bad Endorf</t>
  </si>
  <si>
    <t>Breitbrunn</t>
  </si>
  <si>
    <t>Bruckmühl</t>
  </si>
  <si>
    <t>Chiemsee</t>
  </si>
  <si>
    <t>Edling</t>
  </si>
  <si>
    <t>Eggstätt</t>
  </si>
  <si>
    <t>Eiselfing</t>
  </si>
  <si>
    <t>Feldkirchen-Westerham</t>
  </si>
  <si>
    <t>Griesstätt</t>
  </si>
  <si>
    <t>Großkarolinenfeld</t>
  </si>
  <si>
    <t>Gstadt</t>
  </si>
  <si>
    <t>Halfing</t>
  </si>
  <si>
    <t>Höslwang</t>
  </si>
  <si>
    <t>Evenhausen</t>
  </si>
  <si>
    <t>Kolbermoor</t>
  </si>
  <si>
    <t>Pfaffing</t>
  </si>
  <si>
    <t>Prien am Chiemsee</t>
  </si>
  <si>
    <t>Prutting</t>
  </si>
  <si>
    <t>Ramerberg</t>
  </si>
  <si>
    <t>Riedering</t>
  </si>
  <si>
    <t>Rimsting</t>
  </si>
  <si>
    <t>Rott am Inn</t>
  </si>
  <si>
    <t>Schechen</t>
  </si>
  <si>
    <t>Schonstett</t>
  </si>
  <si>
    <t>Söchtenau</t>
  </si>
  <si>
    <t>Soyen</t>
  </si>
  <si>
    <t>Stephanskirchen</t>
  </si>
  <si>
    <t>Tuntenhausen</t>
  </si>
  <si>
    <t>Vogtareuth</t>
  </si>
  <si>
    <t>Wasserburg</t>
  </si>
  <si>
    <t>Ostermünchen</t>
  </si>
  <si>
    <t>Willing</t>
  </si>
  <si>
    <t>Mietraching</t>
  </si>
  <si>
    <t>Rosenheim</t>
  </si>
  <si>
    <t>Teilnehmer*innen aus der Stadt Rosenheim</t>
  </si>
  <si>
    <t>aus dem Landkreis Rosenheim</t>
  </si>
  <si>
    <t>aus der Stadt Rosenheim</t>
  </si>
  <si>
    <t>zusätzl. Sozialzuschuss nach §4.7.2 (ZRL)</t>
  </si>
  <si>
    <t>Antragsteller (Verband/Verein):</t>
  </si>
  <si>
    <t>Titel der Maßnahme:</t>
  </si>
  <si>
    <t>Teil II: Teilnehmende</t>
  </si>
  <si>
    <t>Gesamt Anzahl Betreuer*innen</t>
  </si>
  <si>
    <t>Gesamtzahl der Teilnehmer*innen:</t>
  </si>
  <si>
    <t>Uhrzeit</t>
  </si>
  <si>
    <t>Beginn (Datum)</t>
  </si>
  <si>
    <t>Ende (Datum)</t>
  </si>
  <si>
    <t>Teil I: Jugendleiter*innen, Betreuer*innen, Mitarbeiter*innen, Referenten*innen</t>
  </si>
  <si>
    <t>ehrenamtlich 
tätige*r 
Betreuer*in</t>
  </si>
  <si>
    <t>Stand:</t>
  </si>
  <si>
    <t>Veranstaltungsort und Land (bei Ausland)</t>
  </si>
  <si>
    <t>Teilnehmende (TN) aus dem Landkreis Rosenheim</t>
  </si>
  <si>
    <r>
      <t xml:space="preserve">Andere Landkreise: </t>
    </r>
    <r>
      <rPr>
        <b/>
        <u/>
        <sz val="12"/>
        <color theme="1"/>
        <rFont val="Century Gothic"/>
        <family val="2"/>
      </rPr>
      <t>Übernachtungen</t>
    </r>
    <r>
      <rPr>
        <b/>
        <sz val="12"/>
        <color theme="1"/>
        <rFont val="Century Gothic"/>
        <family val="2"/>
      </rPr>
      <t xml:space="preserve"> bzw. </t>
    </r>
    <r>
      <rPr>
        <b/>
        <u/>
        <sz val="12"/>
        <color theme="1"/>
        <rFont val="Century Gothic"/>
        <family val="2"/>
      </rPr>
      <t>Anwesenheits-tage</t>
    </r>
    <r>
      <rPr>
        <b/>
        <sz val="12"/>
        <color theme="1"/>
        <rFont val="Century Gothic"/>
        <family val="2"/>
      </rPr>
      <t xml:space="preserve"> bei Veranstaltungen OHNE Übernachtung</t>
    </r>
  </si>
  <si>
    <r>
      <t xml:space="preserve">TN Stadt Rosenheim: </t>
    </r>
    <r>
      <rPr>
        <b/>
        <u/>
        <sz val="12"/>
        <color theme="1"/>
        <rFont val="Century Gothic"/>
        <family val="2"/>
      </rPr>
      <t>Übernachtungen</t>
    </r>
    <r>
      <rPr>
        <b/>
        <sz val="12"/>
        <color theme="1"/>
        <rFont val="Century Gothic"/>
        <family val="2"/>
      </rPr>
      <t xml:space="preserve"> bzw. </t>
    </r>
    <r>
      <rPr>
        <b/>
        <u/>
        <sz val="12"/>
        <color theme="1"/>
        <rFont val="Century Gothic"/>
        <family val="2"/>
      </rPr>
      <t>Anwesenheits-tage</t>
    </r>
    <r>
      <rPr>
        <b/>
        <sz val="12"/>
        <color theme="1"/>
        <rFont val="Century Gothic"/>
        <family val="2"/>
      </rPr>
      <t xml:space="preserve"> bei mehrtätigen Veranstaltungen OHNE Übernachtung</t>
    </r>
  </si>
  <si>
    <r>
      <rPr>
        <b/>
        <u/>
        <sz val="12"/>
        <color theme="1"/>
        <rFont val="Century Gothic"/>
        <family val="2"/>
      </rPr>
      <t>Übernachtungen</t>
    </r>
    <r>
      <rPr>
        <b/>
        <sz val="12"/>
        <color theme="1"/>
        <rFont val="Century Gothic"/>
        <family val="2"/>
      </rPr>
      <t xml:space="preserve"> bzw. </t>
    </r>
    <r>
      <rPr>
        <b/>
        <u/>
        <sz val="12"/>
        <color theme="1"/>
        <rFont val="Century Gothic"/>
        <family val="2"/>
      </rPr>
      <t>Anwesenheits-tage</t>
    </r>
    <r>
      <rPr>
        <b/>
        <sz val="12"/>
        <color theme="1"/>
        <rFont val="Century Gothic"/>
        <family val="2"/>
      </rPr>
      <t xml:space="preserve"> bei mehrtägigen Veranstaltungen OHNE Übernachtung</t>
    </r>
  </si>
  <si>
    <t>Nachname</t>
  </si>
  <si>
    <t>zusätzlich: Sozialzu-schuss
§ 4.1.1 Zuschuss-richtline</t>
  </si>
  <si>
    <r>
      <t>TN Landkreis Rosenheim:</t>
    </r>
    <r>
      <rPr>
        <b/>
        <u/>
        <sz val="12"/>
        <color theme="1"/>
        <rFont val="Century Gothic"/>
        <family val="2"/>
      </rPr>
      <t xml:space="preserve"> Übernachtungen</t>
    </r>
    <r>
      <rPr>
        <b/>
        <sz val="12"/>
        <color theme="1"/>
        <rFont val="Century Gothic"/>
        <family val="2"/>
      </rPr>
      <t xml:space="preserve"> bzw. </t>
    </r>
    <r>
      <rPr>
        <b/>
        <u/>
        <sz val="12"/>
        <color theme="1"/>
        <rFont val="Century Gothic"/>
        <family val="2"/>
      </rPr>
      <t>Anwesenheitstage</t>
    </r>
    <r>
      <rPr>
        <b/>
        <sz val="12"/>
        <color theme="1"/>
        <rFont val="Century Gothic"/>
        <family val="2"/>
      </rPr>
      <t xml:space="preserve"> bei mehrtägigen Veranstaltungen OHNE Übernachtung</t>
    </r>
  </si>
  <si>
    <t>Summe</t>
  </si>
  <si>
    <t>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</si>
</sst>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* #,##0.00\ &quot;€&quot;_-;\-* #,##0.00\ &quot;€&quot;_-;_-* &quot;-&quot;??\ &quot;€&quot;_-;_-@_-"/>
    <numFmt numFmtId="164" formatCode="#,##0.00\ &quot;€&quot;"/>
    <numFmt numFmtId="165" formatCode="00000"/>
    <numFmt numFmtId="166" formatCode="_-* #,##0.00\ [$€-407]_-;\-* #,##0.00\ [$€-407]_-;_-* &quot;-&quot;??\ [$€-407]_-;_-@_-"/>
    <numFmt numFmtId="167" formatCode="h:mm;@"/>
  </numFmts>
  <fonts count="16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8"/>
      <color theme="1"/>
      <name val="Century Gothic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6"/>
      <color theme="1"/>
      <name val="Century Gothic"/>
      <family val="2"/>
    </font>
    <font>
      <sz val="12"/>
      <name val="Century Gothic"/>
      <family val="2"/>
    </font>
    <font>
      <b/>
      <u/>
      <sz val="12"/>
      <color theme="1"/>
      <name val="Century Gothic"/>
      <family val="2"/>
    </font>
    <font>
      <b/>
      <sz val="10"/>
      <color indexed="81"/>
      <name val="Segoe UI"/>
      <family val="2"/>
    </font>
    <font>
      <sz val="10"/>
      <color indexed="81"/>
      <name val="Segoe UI"/>
      <family val="2"/>
    </font>
    <font>
      <b/>
      <u/>
      <sz val="10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4" fillId="0" borderId="0" xfId="0" applyFont="1" applyAlignment="1">
      <alignment horizontal="left" indent="1"/>
    </xf>
    <xf numFmtId="0" fontId="6" fillId="0" borderId="5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14" fontId="5" fillId="0" borderId="1" xfId="0" applyNumberFormat="1" applyFont="1" applyBorder="1" applyAlignment="1">
      <alignment horizontal="left" indent="1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right" indent="3"/>
      <protection locked="0"/>
    </xf>
    <xf numFmtId="0" fontId="3" fillId="0" borderId="1" xfId="0" applyFont="1" applyBorder="1" applyAlignment="1">
      <alignment horizontal="right" indent="1"/>
    </xf>
    <xf numFmtId="0" fontId="3" fillId="0" borderId="8" xfId="0" applyFont="1" applyBorder="1"/>
    <xf numFmtId="0" fontId="3" fillId="0" borderId="5" xfId="0" applyFont="1" applyBorder="1"/>
    <xf numFmtId="0" fontId="2" fillId="0" borderId="1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vertical="top" wrapText="1" indent="1"/>
    </xf>
    <xf numFmtId="0" fontId="5" fillId="3" borderId="1" xfId="0" applyFont="1" applyFill="1" applyBorder="1"/>
    <xf numFmtId="0" fontId="2" fillId="0" borderId="1" xfId="0" applyFont="1" applyBorder="1" applyAlignment="1">
      <alignment horizontal="right" indent="1"/>
    </xf>
    <xf numFmtId="0" fontId="5" fillId="4" borderId="1" xfId="0" applyFont="1" applyFill="1" applyBorder="1" applyAlignment="1">
      <alignment horizontal="right" inden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right" indent="3"/>
    </xf>
    <xf numFmtId="0" fontId="5" fillId="4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center"/>
      <protection locked="0"/>
    </xf>
    <xf numFmtId="0" fontId="7" fillId="0" borderId="0" xfId="0" applyFont="1"/>
    <xf numFmtId="0" fontId="0" fillId="0" borderId="1" xfId="0" applyBorder="1" applyAlignment="1">
      <alignment horizontal="center"/>
    </xf>
    <xf numFmtId="166" fontId="5" fillId="0" borderId="1" xfId="1" applyNumberFormat="1" applyFont="1" applyBorder="1" applyAlignment="1" applyProtection="1">
      <alignment horizontal="center"/>
      <protection locked="0"/>
    </xf>
    <xf numFmtId="166" fontId="5" fillId="0" borderId="1" xfId="0" applyNumberFormat="1" applyFont="1" applyBorder="1" applyAlignment="1" applyProtection="1">
      <alignment horizontal="center"/>
      <protection locked="0"/>
    </xf>
    <xf numFmtId="166" fontId="5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indent="1"/>
    </xf>
    <xf numFmtId="1" fontId="0" fillId="0" borderId="0" xfId="0" applyNumberFormat="1"/>
    <xf numFmtId="49" fontId="0" fillId="0" borderId="0" xfId="0" applyNumberFormat="1"/>
    <xf numFmtId="49" fontId="0" fillId="5" borderId="0" xfId="0" applyNumberFormat="1" applyFill="1"/>
    <xf numFmtId="0" fontId="5" fillId="0" borderId="1" xfId="0" quotePrefix="1" applyFont="1" applyBorder="1" applyProtection="1">
      <protection locked="0"/>
    </xf>
    <xf numFmtId="165" fontId="5" fillId="0" borderId="1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vertical="center"/>
    </xf>
    <xf numFmtId="14" fontId="5" fillId="0" borderId="3" xfId="0" applyNumberFormat="1" applyFont="1" applyBorder="1" applyProtection="1">
      <protection locked="0"/>
    </xf>
    <xf numFmtId="0" fontId="6" fillId="0" borderId="5" xfId="0" applyFont="1" applyBorder="1" applyAlignment="1">
      <alignment horizontal="center" vertical="top"/>
    </xf>
    <xf numFmtId="14" fontId="5" fillId="0" borderId="3" xfId="0" applyNumberFormat="1" applyFont="1" applyBorder="1" applyAlignment="1" applyProtection="1">
      <alignment horizontal="left"/>
      <protection locked="0"/>
    </xf>
    <xf numFmtId="167" fontId="5" fillId="0" borderId="7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1" xfId="2" applyNumberFormat="1" applyFont="1" applyBorder="1" applyAlignment="1" applyProtection="1">
      <alignment horizontal="center"/>
      <protection locked="0"/>
    </xf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5" fillId="0" borderId="1" xfId="0" applyFont="1" applyBorder="1" applyAlignment="1" applyProtection="1">
      <alignment horizontal="center"/>
      <protection locked="0" hidden="1"/>
    </xf>
    <xf numFmtId="0" fontId="5" fillId="4" borderId="1" xfId="0" applyFont="1" applyFill="1" applyBorder="1" applyAlignment="1">
      <alignment horizontal="center" vertical="center"/>
    </xf>
    <xf numFmtId="0" fontId="11" fillId="0" borderId="1" xfId="0" quotePrefix="1" applyFont="1" applyBorder="1" applyProtection="1">
      <protection locked="0"/>
    </xf>
    <xf numFmtId="0" fontId="2" fillId="0" borderId="0" xfId="0" applyFont="1" applyAlignment="1">
      <alignment horizontal="left" vertical="top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5" fillId="0" borderId="1" xfId="0" applyFont="1" applyBorder="1" applyAlignment="1" applyProtection="1">
      <alignment horizontal="left" indent="1"/>
      <protection locked="0"/>
    </xf>
    <xf numFmtId="0" fontId="10" fillId="0" borderId="2" xfId="0" applyFont="1" applyBorder="1" applyAlignment="1">
      <alignment horizontal="left" vertical="center"/>
    </xf>
    <xf numFmtId="0" fontId="4" fillId="6" borderId="3" xfId="0" applyFont="1" applyFill="1" applyBorder="1" applyAlignment="1">
      <alignment horizontal="left" indent="1"/>
    </xf>
    <xf numFmtId="0" fontId="4" fillId="6" borderId="6" xfId="0" applyFont="1" applyFill="1" applyBorder="1" applyAlignment="1">
      <alignment horizontal="left" indent="1"/>
    </xf>
    <xf numFmtId="0" fontId="4" fillId="6" borderId="7" xfId="0" applyFont="1" applyFill="1" applyBorder="1" applyAlignment="1">
      <alignment horizontal="left" indent="1"/>
    </xf>
    <xf numFmtId="0" fontId="3" fillId="0" borderId="1" xfId="0" applyFont="1" applyBorder="1" applyAlignment="1">
      <alignment horizontal="left" indent="1"/>
    </xf>
  </cellXfs>
  <cellStyles count="3">
    <cellStyle name="Dezimal [0]" xfId="2" builtinId="6"/>
    <cellStyle name="Standard" xfId="0" builtinId="0"/>
    <cellStyle name="Währung" xfId="1" builtinId="4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1" formatCode="0"/>
    </dxf>
  </dxfs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187355</xdr:colOff>
      <xdr:row>0</xdr:row>
      <xdr:rowOff>76200</xdr:rowOff>
    </xdr:from>
    <xdr:ext cx="1247745" cy="816426"/>
    <xdr:pic>
      <xdr:nvPicPr>
        <xdr:cNvPr id="2" name="Grafik 1">
          <a:extLst>
            <a:ext uri="{FF2B5EF4-FFF2-40B4-BE49-F238E27FC236}">
              <a16:creationId xmlns:a16="http://schemas.microsoft.com/office/drawing/2014/main" id="{B81F880E-155E-416C-9F2D-11C6D59F8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355" y="76200"/>
          <a:ext cx="1247745" cy="816426"/>
        </a:xfrm>
        <a:prstGeom prst="rect">
          <a:avLst/>
        </a:prstGeom>
      </xdr:spPr>
    </xdr:pic>
    <xdr:clientData/>
  </xdr:oneCellAnchor>
  <xdr:twoCellAnchor>
    <xdr:from>
      <xdr:col>7</xdr:col>
      <xdr:colOff>63500</xdr:colOff>
      <xdr:row>1</xdr:row>
      <xdr:rowOff>9072</xdr:rowOff>
    </xdr:from>
    <xdr:to>
      <xdr:col>10</xdr:col>
      <xdr:colOff>1406071</xdr:colOff>
      <xdr:row>10</xdr:row>
      <xdr:rowOff>317501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7DC2C31-19E8-B62C-0669-965DE8960D84}"/>
            </a:ext>
          </a:extLst>
        </xdr:cNvPr>
        <xdr:cNvSpPr txBox="1"/>
      </xdr:nvSpPr>
      <xdr:spPr>
        <a:xfrm>
          <a:off x="8146143" y="208643"/>
          <a:ext cx="5678714" cy="259442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200" b="1"/>
            <a:t>Hinweistext und Ausfüllinfo: </a:t>
          </a:r>
        </a:p>
        <a:p>
          <a:r>
            <a:rPr lang="de-DE" sz="1200" b="1"/>
            <a:t>1. Schritt: </a:t>
          </a:r>
          <a:r>
            <a:rPr lang="de-DE" sz="1200"/>
            <a:t>Bitte Tabellenblatt "Erfassung Betreuer Teilnehmende" ausfüllen. Diese Daten werden automatisch in die Tabellenblätter "Angaben für Online-Antrag" und "Angaben f. Jugendhilfestatistik"  übertragen (beide Blätter werden automatisch befüllt).</a:t>
          </a:r>
        </a:p>
        <a:p>
          <a:endParaRPr lang="de-DE" sz="1200"/>
        </a:p>
        <a:p>
          <a:r>
            <a:rPr lang="de-DE" sz="1200" b="1"/>
            <a:t>2. Schritt: </a:t>
          </a:r>
          <a:r>
            <a:rPr lang="de-DE" sz="1200"/>
            <a:t>Die Ergebnisse aus dem Tabellenblatt "Angaben für Online-Antrag" beim Ausfüllen des Online-Antrages in die dafür vorgesehenen Felder übertragen.</a:t>
          </a:r>
        </a:p>
        <a:p>
          <a:endParaRPr lang="de-DE" sz="1200"/>
        </a:p>
        <a:p>
          <a:r>
            <a:rPr lang="de-DE" sz="1200" b="1"/>
            <a:t>Erfassung für Statistik: </a:t>
          </a:r>
          <a:r>
            <a:rPr lang="de-DE" sz="1200"/>
            <a:t>Unsere Zuschussvergaben und die damit geförderten Maß-nahmen werden in Zusammenarbeit mit dem Bayerischen Landesamt für Statistik evaluiert und ausgewertet. Damit wir möglichst exakte Zahlen liefern können, benötigen wir genaue Angaben zu den Betreuer*innen und Teilnehmer*innen.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101600</xdr:colOff>
      <xdr:row>0</xdr:row>
      <xdr:rowOff>82550</xdr:rowOff>
    </xdr:from>
    <xdr:ext cx="1247745" cy="816426"/>
    <xdr:pic>
      <xdr:nvPicPr>
        <xdr:cNvPr id="4" name="Grafik 3">
          <a:extLst>
            <a:ext uri="{FF2B5EF4-FFF2-40B4-BE49-F238E27FC236}">
              <a16:creationId xmlns:a16="http://schemas.microsoft.com/office/drawing/2014/main" id="{64D27032-7E3F-4905-A6A7-F8402B25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600" y="82550"/>
          <a:ext cx="1247745" cy="8164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44450</xdr:rowOff>
    </xdr:from>
    <xdr:ext cx="1247745" cy="816426"/>
    <xdr:pic>
      <xdr:nvPicPr>
        <xdr:cNvPr id="3" name="Grafik 2">
          <a:extLst>
            <a:ext uri="{FF2B5EF4-FFF2-40B4-BE49-F238E27FC236}">
              <a16:creationId xmlns:a16="http://schemas.microsoft.com/office/drawing/2014/main" id="{1D263EE1-C72C-4168-B5FA-01795B425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200" y="44450"/>
          <a:ext cx="1247745" cy="81642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547DF-933D-446E-A2C9-D11D4A27E570}" name="tbl_Personen" displayName="tbl_Personen" ref="A1:A8" totalsRowShown="0">
  <autoFilter ref="A1:A8" xr:uid="{96D45703-8A17-49E5-85A3-79DC6DDB2BFA}"/>
  <tableColumns count="1">
    <tableColumn id="1" xr3:uid="{F3335BF5-3B05-481B-A660-A9F46A98B120}" name="Person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A2D218-696A-44C7-BD8E-ACBE76804F3B}" name="tbl_Geschlecht" displayName="tbl_Geschlecht" ref="C1:C4" totalsRowShown="0">
  <autoFilter ref="C1:C4" xr:uid="{627A2F07-A53A-4A86-BDF3-3D75BE5DEE5A}"/>
  <tableColumns count="1">
    <tableColumn id="1" xr3:uid="{F9C0CD32-3F88-47FD-BE9A-2D11A135C648}" name="Geschlec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A7A98E-E58E-485C-82B6-33416BD9D0A5}" name="tbl_Auswahl" displayName="tbl_Auswahl" ref="E1:E3" totalsRowShown="0">
  <autoFilter ref="E1:E3" xr:uid="{2436A05C-7504-4F85-9401-FFBA7A16D264}"/>
  <tableColumns count="1">
    <tableColumn id="1" xr3:uid="{73618B89-9984-4933-8867-FFF5D9DDBA8C}" name="Auswah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C9FC6E-FA49-4866-B032-40E1C6F519E1}" name="tbl_PLZ" displayName="tbl_PLZ" ref="G1:H55" totalsRowShown="0">
  <autoFilter ref="G1:H55" xr:uid="{EEF5F539-56A2-4ADC-8126-7B1BB7F6BA8C}"/>
  <tableColumns count="2">
    <tableColumn id="1" xr3:uid="{A1B41E9F-8C0A-4714-A773-CE6828A104D7}" name="PLZ" dataDxfId="16"/>
    <tableColumn id="2" xr3:uid="{EB9BE795-FBD6-4D70-BEBF-0CC2285A7643}" name="Or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48EAAE-2741-4DCE-AEE7-6585C6FA9955}" name="Tabelle5" displayName="Tabelle5" ref="E6:E8" totalsRowShown="0">
  <autoFilter ref="E6:E8" xr:uid="{73CE1F34-BDCC-40EF-ADD1-0D4CCCD29E26}"/>
  <tableColumns count="1">
    <tableColumn id="1" xr3:uid="{B64195E1-7A0B-4BB2-BD6E-8BEC74445DC4}" name="Auswah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92D050"/>
    <pageSetUpPr fitToPage="1"/>
  </sheetPr>
  <dimension ref="A1:Y163"/>
  <sheetViews>
    <sheetView tabSelected="1" zoomScale="70" zoomScaleNormal="70" workbookViewId="0">
      <selection activeCell="D5" sqref="D5:G5"/>
    </sheetView>
  </sheetViews>
  <sheetFormatPr baseColWidth="10" defaultColWidth="9.140625" defaultRowHeight="17.25" x14ac:dyDescent="0.3"/>
  <cols>
    <col min="1" max="1" width="8.42578125" style="4" customWidth="1"/>
    <col min="2" max="2" width="22.5703125" style="4" bestFit="1" customWidth="1"/>
    <col min="3" max="3" width="18.5703125" style="4" customWidth="1"/>
    <col min="4" max="4" width="14.42578125" style="4" bestFit="1" customWidth="1"/>
    <col min="5" max="5" width="14" style="4" customWidth="1"/>
    <col min="6" max="6" width="12.140625" style="4" bestFit="1" customWidth="1"/>
    <col min="7" max="7" width="25.42578125" style="4" bestFit="1" customWidth="1"/>
    <col min="8" max="8" width="21" style="4" customWidth="1"/>
    <col min="9" max="9" width="20.5703125" style="7" customWidth="1"/>
    <col min="10" max="12" width="20.5703125" style="4" customWidth="1"/>
    <col min="13" max="13" width="20.7109375" style="4" customWidth="1"/>
    <col min="14" max="14" width="12.5703125" style="4" customWidth="1"/>
    <col min="15" max="24" width="11.5703125" style="4" customWidth="1"/>
    <col min="25" max="25" width="12.5703125" style="4" customWidth="1"/>
    <col min="26" max="16384" width="9.140625" style="4"/>
  </cols>
  <sheetData>
    <row r="1" spans="1:25" ht="15.95" customHeight="1" x14ac:dyDescent="0.3">
      <c r="A1" s="6"/>
      <c r="I1" s="65"/>
      <c r="J1" s="65"/>
      <c r="K1" s="65"/>
      <c r="L1" s="65"/>
    </row>
    <row r="2" spans="1:25" x14ac:dyDescent="0.3">
      <c r="A2" s="6"/>
      <c r="C2" s="73" t="s">
        <v>130</v>
      </c>
      <c r="D2" s="72" t="s">
        <v>140</v>
      </c>
      <c r="E2" s="72"/>
      <c r="I2" s="65"/>
      <c r="J2" s="65"/>
      <c r="K2" s="65"/>
      <c r="L2" s="65"/>
    </row>
    <row r="3" spans="1:25" x14ac:dyDescent="0.3">
      <c r="A3" s="6"/>
      <c r="E3" s="8"/>
      <c r="I3" s="65"/>
      <c r="J3" s="65"/>
      <c r="K3" s="65"/>
      <c r="L3" s="65"/>
    </row>
    <row r="4" spans="1:25" ht="51.75" customHeight="1" x14ac:dyDescent="0.3">
      <c r="A4" s="6"/>
      <c r="E4" s="8"/>
      <c r="I4" s="65"/>
      <c r="J4" s="65"/>
      <c r="K4" s="65"/>
      <c r="L4" s="65"/>
    </row>
    <row r="5" spans="1:25" x14ac:dyDescent="0.3">
      <c r="A5" s="85" t="s">
        <v>120</v>
      </c>
      <c r="B5" s="86"/>
      <c r="C5" s="87"/>
      <c r="D5" s="83"/>
      <c r="E5" s="83"/>
      <c r="F5" s="83"/>
      <c r="G5" s="83"/>
      <c r="I5" s="65"/>
      <c r="J5" s="65"/>
      <c r="K5" s="65"/>
      <c r="L5" s="65"/>
    </row>
    <row r="6" spans="1:25" ht="17.25" customHeight="1" x14ac:dyDescent="0.3">
      <c r="A6" s="85" t="s">
        <v>121</v>
      </c>
      <c r="B6" s="86"/>
      <c r="C6" s="87"/>
      <c r="D6" s="83"/>
      <c r="E6" s="83"/>
      <c r="F6" s="83"/>
      <c r="G6" s="83"/>
      <c r="H6" s="12"/>
      <c r="I6" s="65"/>
      <c r="J6" s="65"/>
      <c r="K6" s="65"/>
      <c r="L6" s="65"/>
    </row>
    <row r="7" spans="1:25" ht="17.25" customHeight="1" x14ac:dyDescent="0.3">
      <c r="A7" s="85" t="s">
        <v>131</v>
      </c>
      <c r="B7" s="86"/>
      <c r="C7" s="87"/>
      <c r="D7" s="83"/>
      <c r="E7" s="83"/>
      <c r="F7" s="83"/>
      <c r="G7" s="83"/>
      <c r="I7" s="65"/>
      <c r="J7" s="65"/>
      <c r="K7" s="65"/>
      <c r="L7" s="6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3">
      <c r="A8" s="85" t="s">
        <v>64</v>
      </c>
      <c r="B8" s="86"/>
      <c r="C8" s="87"/>
      <c r="D8" s="83"/>
      <c r="E8" s="83"/>
      <c r="F8" s="83"/>
      <c r="G8" s="83"/>
      <c r="H8" s="13"/>
      <c r="I8" s="65"/>
      <c r="J8" s="65"/>
      <c r="K8" s="65"/>
      <c r="L8" s="6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3">
      <c r="A9" s="85" t="s">
        <v>13</v>
      </c>
      <c r="B9" s="86"/>
      <c r="C9" s="87"/>
      <c r="D9" s="54"/>
      <c r="E9" s="55"/>
      <c r="F9" s="52"/>
      <c r="G9" s="55"/>
      <c r="H9" s="13"/>
      <c r="I9" s="65"/>
      <c r="J9" s="65"/>
      <c r="K9" s="65"/>
      <c r="L9" s="6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x14ac:dyDescent="0.3">
      <c r="A10" s="9"/>
      <c r="D10" s="10" t="s">
        <v>126</v>
      </c>
      <c r="E10" s="53" t="s">
        <v>125</v>
      </c>
      <c r="F10" s="10" t="s">
        <v>127</v>
      </c>
      <c r="G10" s="53" t="s">
        <v>125</v>
      </c>
      <c r="H10" s="13"/>
      <c r="I10" s="65"/>
      <c r="J10" s="65"/>
      <c r="K10" s="65"/>
      <c r="L10" s="6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39" customHeight="1" x14ac:dyDescent="0.3">
      <c r="B11" s="84" t="s">
        <v>128</v>
      </c>
      <c r="C11" s="84"/>
      <c r="D11" s="84"/>
      <c r="E11" s="84"/>
      <c r="F11" s="84"/>
      <c r="G11" s="84"/>
      <c r="H11" s="13"/>
      <c r="I11" s="56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26.75" customHeight="1" x14ac:dyDescent="0.3">
      <c r="A12" s="32" t="s">
        <v>3</v>
      </c>
      <c r="B12" s="66" t="s">
        <v>136</v>
      </c>
      <c r="C12" s="66" t="s">
        <v>0</v>
      </c>
      <c r="D12" s="67" t="s">
        <v>5</v>
      </c>
      <c r="E12" s="67" t="s">
        <v>4</v>
      </c>
      <c r="F12" s="67" t="s">
        <v>1</v>
      </c>
      <c r="G12" s="11" t="s">
        <v>2</v>
      </c>
      <c r="H12" s="67" t="s">
        <v>135</v>
      </c>
      <c r="I12" s="68" t="s">
        <v>129</v>
      </c>
      <c r="J12" s="71" t="s">
        <v>7</v>
      </c>
      <c r="K12" s="68" t="s">
        <v>6</v>
      </c>
      <c r="L12" s="5"/>
    </row>
    <row r="13" spans="1:25" x14ac:dyDescent="0.3">
      <c r="A13" s="31" t="str">
        <f>IF(OR(B13&lt;&gt;"",C13&lt;&gt;""),MAX($A$12:A12)+1,"")</f>
        <v/>
      </c>
      <c r="B13" s="16"/>
      <c r="C13" s="16"/>
      <c r="D13" s="17"/>
      <c r="E13" s="17"/>
      <c r="F13" s="50"/>
      <c r="G13" s="49">
        <f>VLOOKUP(F13,tbl_PLZ[],2,0)</f>
        <v>0</v>
      </c>
      <c r="H13" s="17"/>
      <c r="I13" s="17"/>
      <c r="J13" s="17"/>
      <c r="K13" s="38"/>
    </row>
    <row r="14" spans="1:25" x14ac:dyDescent="0.3">
      <c r="A14" s="31" t="str">
        <f>IF(OR(B14&lt;&gt;"",C14&lt;&gt;""),MAX($A$12:A13)+1,"")</f>
        <v/>
      </c>
      <c r="B14" s="16"/>
      <c r="C14" s="16"/>
      <c r="D14" s="17"/>
      <c r="E14" s="17"/>
      <c r="F14" s="50"/>
      <c r="G14" s="49">
        <f>VLOOKUP(F14,tbl_PLZ[],2,0)</f>
        <v>0</v>
      </c>
      <c r="H14" s="17"/>
      <c r="I14" s="17"/>
      <c r="J14" s="17"/>
      <c r="K14" s="38"/>
    </row>
    <row r="15" spans="1:25" x14ac:dyDescent="0.3">
      <c r="A15" s="31" t="str">
        <f>IF(OR(B15&lt;&gt;"",C15&lt;&gt;""),MAX($A$12:A14)+1,"")</f>
        <v/>
      </c>
      <c r="B15" s="16"/>
      <c r="C15" s="16"/>
      <c r="D15" s="17"/>
      <c r="E15" s="17"/>
      <c r="F15" s="50"/>
      <c r="G15" s="49">
        <f>VLOOKUP(F15,tbl_PLZ[],2,0)</f>
        <v>0</v>
      </c>
      <c r="H15" s="17"/>
      <c r="I15" s="17"/>
      <c r="J15" s="17"/>
      <c r="K15" s="38"/>
    </row>
    <row r="16" spans="1:25" x14ac:dyDescent="0.3">
      <c r="A16" s="31" t="str">
        <f>IF(OR(B16&lt;&gt;"",C16&lt;&gt;""),MAX($A$12:A15)+1,"")</f>
        <v/>
      </c>
      <c r="B16" s="16"/>
      <c r="C16" s="16"/>
      <c r="D16" s="17"/>
      <c r="E16" s="17"/>
      <c r="F16" s="50"/>
      <c r="G16" s="49">
        <f>VLOOKUP(F16,tbl_PLZ[],2,0)</f>
        <v>0</v>
      </c>
      <c r="H16" s="17"/>
      <c r="I16" s="17"/>
      <c r="J16" s="17"/>
      <c r="K16" s="38"/>
    </row>
    <row r="17" spans="1:11" x14ac:dyDescent="0.3">
      <c r="A17" s="31" t="str">
        <f>IF(OR(B17&lt;&gt;"",C17&lt;&gt;""),MAX($A$12:A16)+1,"")</f>
        <v/>
      </c>
      <c r="B17" s="16"/>
      <c r="C17" s="16"/>
      <c r="D17" s="17"/>
      <c r="E17" s="17"/>
      <c r="F17" s="50"/>
      <c r="G17" s="49">
        <f>VLOOKUP(F17,tbl_PLZ[],2,0)</f>
        <v>0</v>
      </c>
      <c r="H17" s="17"/>
      <c r="I17" s="17"/>
      <c r="J17" s="17"/>
      <c r="K17" s="38"/>
    </row>
    <row r="18" spans="1:11" x14ac:dyDescent="0.3">
      <c r="A18" s="31" t="str">
        <f>IF(OR(B18&lt;&gt;"",C18&lt;&gt;""),MAX($A$12:A17)+1,"")</f>
        <v/>
      </c>
      <c r="B18" s="16"/>
      <c r="C18" s="16"/>
      <c r="D18" s="17"/>
      <c r="E18" s="17"/>
      <c r="F18" s="50"/>
      <c r="G18" s="49">
        <f>VLOOKUP(F18,tbl_PLZ[],2,0)</f>
        <v>0</v>
      </c>
      <c r="H18" s="17"/>
      <c r="I18" s="17"/>
      <c r="J18" s="17"/>
      <c r="K18" s="38"/>
    </row>
    <row r="19" spans="1:11" x14ac:dyDescent="0.3">
      <c r="A19" s="31" t="str">
        <f>IF(OR(B19&lt;&gt;"",C19&lt;&gt;""),MAX($A$12:A18)+1,"")</f>
        <v/>
      </c>
      <c r="B19" s="16"/>
      <c r="C19" s="16"/>
      <c r="D19" s="17"/>
      <c r="E19" s="17"/>
      <c r="F19" s="50"/>
      <c r="G19" s="49">
        <f>VLOOKUP(F19,tbl_PLZ[],2,0)</f>
        <v>0</v>
      </c>
      <c r="H19" s="17"/>
      <c r="I19" s="17"/>
      <c r="J19" s="17"/>
      <c r="K19" s="38"/>
    </row>
    <row r="20" spans="1:11" x14ac:dyDescent="0.3">
      <c r="A20" s="31" t="str">
        <f>IF(OR(B20&lt;&gt;"",C20&lt;&gt;""),MAX($A$12:A19)+1,"")</f>
        <v/>
      </c>
      <c r="B20" s="16"/>
      <c r="C20" s="16"/>
      <c r="D20" s="17"/>
      <c r="E20" s="17"/>
      <c r="F20" s="50"/>
      <c r="G20" s="49">
        <f>VLOOKUP(F20,tbl_PLZ[],2,0)</f>
        <v>0</v>
      </c>
      <c r="H20" s="17"/>
      <c r="I20" s="17"/>
      <c r="J20" s="17"/>
      <c r="K20" s="38"/>
    </row>
    <row r="21" spans="1:11" x14ac:dyDescent="0.3">
      <c r="A21" s="31" t="str">
        <f>IF(OR(B21&lt;&gt;"",C21&lt;&gt;""),MAX($A$12:A20)+1,"")</f>
        <v/>
      </c>
      <c r="B21" s="16"/>
      <c r="C21" s="16"/>
      <c r="D21" s="17"/>
      <c r="E21" s="17"/>
      <c r="F21" s="50"/>
      <c r="G21" s="49">
        <f>VLOOKUP(F21,tbl_PLZ[],2,0)</f>
        <v>0</v>
      </c>
      <c r="H21" s="17"/>
      <c r="I21" s="17"/>
      <c r="J21" s="17"/>
      <c r="K21" s="38"/>
    </row>
    <row r="22" spans="1:11" x14ac:dyDescent="0.3">
      <c r="A22" s="31" t="str">
        <f>IF(OR(B22&lt;&gt;"",C22&lt;&gt;""),MAX($A$12:A21)+1,"")</f>
        <v/>
      </c>
      <c r="B22" s="16"/>
      <c r="C22" s="16"/>
      <c r="D22" s="17"/>
      <c r="E22" s="17"/>
      <c r="F22" s="50"/>
      <c r="G22" s="49">
        <f>VLOOKUP(F22,tbl_PLZ[],2,0)</f>
        <v>0</v>
      </c>
      <c r="H22" s="17"/>
      <c r="I22" s="17"/>
      <c r="J22" s="17"/>
      <c r="K22" s="38"/>
    </row>
    <row r="23" spans="1:11" x14ac:dyDescent="0.3">
      <c r="A23" s="31" t="str">
        <f>IF(OR(B23&lt;&gt;"",C23&lt;&gt;""),MAX($A$12:A22)+1,"")</f>
        <v/>
      </c>
      <c r="B23" s="16"/>
      <c r="C23" s="16"/>
      <c r="D23" s="17"/>
      <c r="E23" s="17"/>
      <c r="F23" s="50"/>
      <c r="G23" s="49">
        <f>VLOOKUP(F23,tbl_PLZ[],2,0)</f>
        <v>0</v>
      </c>
      <c r="H23" s="17"/>
      <c r="I23" s="17"/>
      <c r="J23" s="17"/>
      <c r="K23" s="38"/>
    </row>
    <row r="24" spans="1:11" x14ac:dyDescent="0.3">
      <c r="A24" s="31" t="str">
        <f>IF(OR(B24&lt;&gt;"",C24&lt;&gt;""),MAX($A$12:A23)+1,"")</f>
        <v/>
      </c>
      <c r="B24" s="16"/>
      <c r="C24" s="16"/>
      <c r="D24" s="17"/>
      <c r="E24" s="17"/>
      <c r="F24" s="50"/>
      <c r="G24" s="49">
        <f>VLOOKUP(F24,tbl_PLZ[],2,0)</f>
        <v>0</v>
      </c>
      <c r="H24" s="17"/>
      <c r="I24" s="17"/>
      <c r="J24" s="17"/>
      <c r="K24" s="38"/>
    </row>
    <row r="25" spans="1:11" x14ac:dyDescent="0.3">
      <c r="A25" s="31" t="str">
        <f>IF(OR(B25&lt;&gt;"",C25&lt;&gt;""),MAX($A$12:A24)+1,"")</f>
        <v/>
      </c>
      <c r="B25" s="16"/>
      <c r="C25" s="16"/>
      <c r="D25" s="17"/>
      <c r="E25" s="17"/>
      <c r="F25" s="50"/>
      <c r="G25" s="49">
        <f>VLOOKUP(F25,tbl_PLZ[],2,0)</f>
        <v>0</v>
      </c>
      <c r="H25" s="17"/>
      <c r="I25" s="17"/>
      <c r="J25" s="17"/>
      <c r="K25" s="38"/>
    </row>
    <row r="26" spans="1:11" x14ac:dyDescent="0.3">
      <c r="A26" s="31" t="str">
        <f>IF(OR(B26&lt;&gt;"",C26&lt;&gt;""),MAX($A$12:A25)+1,"")</f>
        <v/>
      </c>
      <c r="B26" s="16"/>
      <c r="C26" s="16"/>
      <c r="D26" s="17"/>
      <c r="E26" s="17"/>
      <c r="F26" s="50"/>
      <c r="G26" s="49">
        <f>VLOOKUP(F26,tbl_PLZ[],2,0)</f>
        <v>0</v>
      </c>
      <c r="H26" s="17"/>
      <c r="I26" s="17"/>
      <c r="J26" s="17"/>
      <c r="K26" s="38"/>
    </row>
    <row r="27" spans="1:11" x14ac:dyDescent="0.3">
      <c r="A27" s="31" t="str">
        <f>IF(OR(B27&lt;&gt;"",C27&lt;&gt;""),MAX($A$12:A26)+1,"")</f>
        <v/>
      </c>
      <c r="B27" s="16"/>
      <c r="C27" s="16"/>
      <c r="D27" s="17"/>
      <c r="E27" s="17"/>
      <c r="F27" s="50"/>
      <c r="G27" s="49">
        <f>VLOOKUP(F27,tbl_PLZ[],2,0)</f>
        <v>0</v>
      </c>
      <c r="H27" s="17"/>
      <c r="I27" s="17"/>
      <c r="J27" s="17"/>
      <c r="K27" s="38"/>
    </row>
    <row r="28" spans="1:11" x14ac:dyDescent="0.3">
      <c r="A28" s="31" t="str">
        <f>IF(OR(B28&lt;&gt;"",C28&lt;&gt;""),MAX($A$12:A27)+1,"")</f>
        <v/>
      </c>
      <c r="B28" s="16"/>
      <c r="C28" s="16"/>
      <c r="D28" s="17"/>
      <c r="E28" s="17"/>
      <c r="F28" s="50"/>
      <c r="G28" s="49">
        <f>VLOOKUP(F28,tbl_PLZ[],2,0)</f>
        <v>0</v>
      </c>
      <c r="H28" s="17"/>
      <c r="I28" s="17"/>
      <c r="J28" s="17"/>
      <c r="K28" s="38"/>
    </row>
    <row r="29" spans="1:11" x14ac:dyDescent="0.3">
      <c r="A29" s="31" t="str">
        <f>IF(OR(B29&lt;&gt;"",C29&lt;&gt;""),MAX($A$12:A28)+1,"")</f>
        <v/>
      </c>
      <c r="B29" s="16"/>
      <c r="C29" s="16"/>
      <c r="D29" s="17"/>
      <c r="E29" s="17"/>
      <c r="F29" s="50"/>
      <c r="G29" s="49">
        <f>VLOOKUP(F29,tbl_PLZ[],2,0)</f>
        <v>0</v>
      </c>
      <c r="H29" s="17"/>
      <c r="I29" s="17"/>
      <c r="J29" s="17"/>
      <c r="K29" s="38"/>
    </row>
    <row r="30" spans="1:11" x14ac:dyDescent="0.3">
      <c r="A30" s="31" t="str">
        <f>IF(OR(B30&lt;&gt;"",C30&lt;&gt;""),MAX($A$12:A29)+1,"")</f>
        <v/>
      </c>
      <c r="B30" s="16"/>
      <c r="C30" s="16"/>
      <c r="D30" s="17"/>
      <c r="E30" s="17"/>
      <c r="F30" s="50"/>
      <c r="G30" s="49">
        <f>VLOOKUP(F30,tbl_PLZ[],2,0)</f>
        <v>0</v>
      </c>
      <c r="H30" s="17"/>
      <c r="I30" s="17"/>
      <c r="J30" s="17"/>
      <c r="K30" s="38"/>
    </row>
    <row r="31" spans="1:11" x14ac:dyDescent="0.3">
      <c r="A31" s="31" t="str">
        <f>IF(OR(B31&lt;&gt;"",C31&lt;&gt;""),MAX($A$12:A30)+1,"")</f>
        <v/>
      </c>
      <c r="B31" s="16"/>
      <c r="C31" s="16"/>
      <c r="D31" s="17"/>
      <c r="E31" s="17"/>
      <c r="F31" s="50"/>
      <c r="G31" s="49">
        <f>VLOOKUP(F31,tbl_PLZ[],2,0)</f>
        <v>0</v>
      </c>
      <c r="H31" s="17"/>
      <c r="I31" s="17"/>
      <c r="J31" s="17"/>
      <c r="K31" s="38"/>
    </row>
    <row r="32" spans="1:11" x14ac:dyDescent="0.3">
      <c r="A32" s="31" t="str">
        <f>IF(OR(B32&lt;&gt;"",C32&lt;&gt;""),MAX($A$12:A31)+1,"")</f>
        <v/>
      </c>
      <c r="B32" s="16"/>
      <c r="C32" s="16"/>
      <c r="D32" s="17"/>
      <c r="E32" s="17"/>
      <c r="F32" s="50"/>
      <c r="G32" s="49">
        <f>VLOOKUP(F32,tbl_PLZ[],2,0)</f>
        <v>0</v>
      </c>
      <c r="H32" s="17"/>
      <c r="I32" s="17"/>
      <c r="J32" s="17"/>
      <c r="K32" s="38"/>
    </row>
    <row r="33" spans="1:14" hidden="1" x14ac:dyDescent="0.3">
      <c r="A33" s="31" t="str">
        <f>IF(OR(B33&lt;&gt;"",C33&lt;&gt;""),MAX($A$12:A31)+1,"")</f>
        <v/>
      </c>
      <c r="B33" s="16"/>
      <c r="C33" s="16"/>
      <c r="D33" s="17"/>
      <c r="E33" s="20"/>
      <c r="F33" s="16"/>
      <c r="G33" s="16"/>
      <c r="H33" s="17"/>
      <c r="I33" s="17"/>
      <c r="J33" s="17"/>
      <c r="K33" s="17"/>
      <c r="L33" s="38"/>
    </row>
    <row r="34" spans="1:14" ht="33.75" customHeight="1" x14ac:dyDescent="0.3">
      <c r="A34" s="80" t="s">
        <v>123</v>
      </c>
      <c r="B34" s="81"/>
      <c r="C34" s="82"/>
      <c r="D34" s="51">
        <f>COUNT(A13:A33)</f>
        <v>0</v>
      </c>
      <c r="E34" s="33"/>
      <c r="F34" s="33"/>
      <c r="G34" s="33"/>
      <c r="H34" s="63">
        <f>SUM(H13:H33)</f>
        <v>0</v>
      </c>
      <c r="I34" s="57"/>
      <c r="J34" s="18"/>
      <c r="K34" s="18"/>
      <c r="L34" s="18"/>
    </row>
    <row r="35" spans="1:14" x14ac:dyDescent="0.3">
      <c r="G35" s="4" t="s">
        <v>55</v>
      </c>
      <c r="H35" s="63">
        <f>IF(F9-D9&gt;13,13,F9-D9)*D34</f>
        <v>0</v>
      </c>
    </row>
    <row r="36" spans="1:14" s="74" customFormat="1" ht="15" x14ac:dyDescent="0.2">
      <c r="I36" s="75"/>
    </row>
    <row r="37" spans="1:14" s="74" customFormat="1" ht="16.5" customHeight="1" x14ac:dyDescent="0.2">
      <c r="I37" s="75"/>
    </row>
    <row r="39" spans="1:14" ht="24.75" customHeight="1" x14ac:dyDescent="0.3">
      <c r="B39" s="61" t="s">
        <v>122</v>
      </c>
    </row>
    <row r="40" spans="1:14" ht="150" x14ac:dyDescent="0.3">
      <c r="A40" s="34" t="s">
        <v>3</v>
      </c>
      <c r="B40" s="69" t="s">
        <v>136</v>
      </c>
      <c r="C40" s="69" t="s">
        <v>0</v>
      </c>
      <c r="D40" s="67" t="s">
        <v>5</v>
      </c>
      <c r="E40" s="70" t="s">
        <v>4</v>
      </c>
      <c r="F40" s="70" t="s">
        <v>1</v>
      </c>
      <c r="G40" s="44" t="s">
        <v>2</v>
      </c>
      <c r="H40" s="11" t="s">
        <v>132</v>
      </c>
      <c r="I40" s="67" t="s">
        <v>138</v>
      </c>
      <c r="J40" s="11" t="s">
        <v>116</v>
      </c>
      <c r="K40" s="67" t="s">
        <v>134</v>
      </c>
      <c r="L40" s="11" t="s">
        <v>8</v>
      </c>
      <c r="M40" s="67" t="s">
        <v>133</v>
      </c>
      <c r="N40" s="76" t="s">
        <v>137</v>
      </c>
    </row>
    <row r="41" spans="1:14" x14ac:dyDescent="0.3">
      <c r="A41" s="31" t="str">
        <f>IF(OR(B41&lt;&gt;"",C41&lt;&gt;""),MAX($A$40:A40)+1,"")</f>
        <v/>
      </c>
      <c r="B41" s="16"/>
      <c r="C41" s="16"/>
      <c r="D41" s="17"/>
      <c r="E41" s="20"/>
      <c r="F41" s="50"/>
      <c r="G41" s="64">
        <f>VLOOKUP(F41,tbl_PLZ[],2,0)</f>
        <v>0</v>
      </c>
      <c r="H41" s="40" t="str">
        <f>IF(F41&lt;&gt;"",IF(ISERROR(MATCH(F41,Hilfstabellen!$G$2:$G$51,0)),"","X"),"")</f>
        <v/>
      </c>
      <c r="I41" s="58"/>
      <c r="J41" s="40" t="str">
        <f>IF(F41&lt;&gt;"",IF(ISERROR(MATCH(F41,Hilfstabellen!$G$52:$G$54,0)),"","X"),"")</f>
        <v/>
      </c>
      <c r="K41" s="17"/>
      <c r="L41" s="40" t="str">
        <f>IF(F41&lt;&gt;"",IF(ISERROR(MATCH(F41,Hilfstabellen!$G$2:$G$55,0)),"X",""),"")</f>
        <v/>
      </c>
      <c r="M41" s="62"/>
      <c r="N41" s="41"/>
    </row>
    <row r="42" spans="1:14" x14ac:dyDescent="0.3">
      <c r="A42" s="31" t="str">
        <f>IF(OR(B42&lt;&gt;"",C42&lt;&gt;""),MAX($A$40:A41)+1,"")</f>
        <v/>
      </c>
      <c r="B42" s="16"/>
      <c r="C42" s="16"/>
      <c r="D42" s="17"/>
      <c r="E42" s="20"/>
      <c r="F42" s="50"/>
      <c r="G42" s="64">
        <f>VLOOKUP(F42,tbl_PLZ[],2,0)</f>
        <v>0</v>
      </c>
      <c r="H42" s="40" t="str">
        <f>IF(F42&lt;&gt;"",IF(ISERROR(MATCH(F42,Hilfstabellen!$G$2:$G$51,0)),"","X"),"")</f>
        <v/>
      </c>
      <c r="I42" s="17"/>
      <c r="J42" s="40" t="str">
        <f>IF(F42&lt;&gt;"",IF(ISERROR(MATCH(F42,Hilfstabellen!$G$52:$G$54,0)),"","X"),"")</f>
        <v/>
      </c>
      <c r="K42" s="17"/>
      <c r="L42" s="40" t="str">
        <f>IF(F42&lt;&gt;"",IF(ISERROR(MATCH(F42,Hilfstabellen!$G$2:$G$55,0)),"X",""),"")</f>
        <v/>
      </c>
      <c r="M42" s="17"/>
      <c r="N42" s="41"/>
    </row>
    <row r="43" spans="1:14" x14ac:dyDescent="0.3">
      <c r="A43" s="31" t="str">
        <f>IF(OR(B43&lt;&gt;"",C43&lt;&gt;""),MAX($A$40:A42)+1,"")</f>
        <v/>
      </c>
      <c r="B43" s="16"/>
      <c r="C43" s="16"/>
      <c r="D43" s="17"/>
      <c r="E43" s="20"/>
      <c r="F43" s="50"/>
      <c r="G43" s="64">
        <f>VLOOKUP(F43,tbl_PLZ[],2,0)</f>
        <v>0</v>
      </c>
      <c r="H43" s="40" t="str">
        <f>IF(F43&lt;&gt;"",IF(ISERROR(MATCH(F43,Hilfstabellen!$G$2:$G$51,0)),"","X"),"")</f>
        <v/>
      </c>
      <c r="I43" s="17"/>
      <c r="J43" s="40" t="str">
        <f>IF(F43&lt;&gt;"",IF(ISERROR(MATCH(F43,Hilfstabellen!$G$52:$G$54,0)),"","X"),"")</f>
        <v/>
      </c>
      <c r="K43" s="17"/>
      <c r="L43" s="40" t="str">
        <f>IF(F43&lt;&gt;"",IF(ISERROR(MATCH(F43,Hilfstabellen!$G$2:$G$55,0)),"X",""),"")</f>
        <v/>
      </c>
      <c r="M43" s="17"/>
      <c r="N43" s="42"/>
    </row>
    <row r="44" spans="1:14" x14ac:dyDescent="0.3">
      <c r="A44" s="31" t="str">
        <f>IF(OR(B44&lt;&gt;"",C44&lt;&gt;""),MAX($A$40:A43)+1,"")</f>
        <v/>
      </c>
      <c r="B44" s="16"/>
      <c r="C44" s="16"/>
      <c r="D44" s="17"/>
      <c r="E44" s="20"/>
      <c r="F44" s="50"/>
      <c r="G44" s="64">
        <f>VLOOKUP(F44,tbl_PLZ[],2,0)</f>
        <v>0</v>
      </c>
      <c r="H44" s="40" t="str">
        <f>IF(F44&lt;&gt;"",IF(ISERROR(MATCH(F44,Hilfstabellen!$G$2:$G$51,0)),"","X"),"")</f>
        <v/>
      </c>
      <c r="I44" s="17"/>
      <c r="J44" s="40" t="str">
        <f>IF(F44&lt;&gt;"",IF(ISERROR(MATCH(F44,Hilfstabellen!$G$52:$G$54,0)),"","X"),"")</f>
        <v/>
      </c>
      <c r="K44" s="17"/>
      <c r="L44" s="40" t="str">
        <f>IF(F44&lt;&gt;"",IF(ISERROR(MATCH(F44,Hilfstabellen!$G$2:$G$55,0)),"X",""),"")</f>
        <v/>
      </c>
      <c r="M44" s="17"/>
      <c r="N44" s="42"/>
    </row>
    <row r="45" spans="1:14" x14ac:dyDescent="0.3">
      <c r="A45" s="31" t="str">
        <f>IF(OR(B45&lt;&gt;"",C45&lt;&gt;""),MAX($A$40:A44)+1,"")</f>
        <v/>
      </c>
      <c r="B45" s="16"/>
      <c r="C45" s="16"/>
      <c r="D45" s="17"/>
      <c r="E45" s="20"/>
      <c r="F45" s="50"/>
      <c r="G45" s="64">
        <f>VLOOKUP(F45,tbl_PLZ[],2,0)</f>
        <v>0</v>
      </c>
      <c r="H45" s="40" t="str">
        <f>IF(F45&lt;&gt;"",IF(ISERROR(MATCH(F45,Hilfstabellen!$G$2:$G$51,0)),"","X"),"")</f>
        <v/>
      </c>
      <c r="I45" s="17"/>
      <c r="J45" s="40" t="str">
        <f>IF(F45&lt;&gt;"",IF(ISERROR(MATCH(F45,Hilfstabellen!$G$52:$G$54,0)),"","X"),"")</f>
        <v/>
      </c>
      <c r="K45" s="17"/>
      <c r="L45" s="40" t="str">
        <f>IF(F45&lt;&gt;"",IF(ISERROR(MATCH(F45,Hilfstabellen!$G$2:$G$55,0)),"X",""),"")</f>
        <v/>
      </c>
      <c r="M45" s="17"/>
      <c r="N45" s="42"/>
    </row>
    <row r="46" spans="1:14" x14ac:dyDescent="0.3">
      <c r="A46" s="31" t="str">
        <f>IF(OR(B46&lt;&gt;"",C46&lt;&gt;""),MAX($A$40:A45)+1,"")</f>
        <v/>
      </c>
      <c r="B46" s="16"/>
      <c r="C46" s="16"/>
      <c r="D46" s="17"/>
      <c r="E46" s="20"/>
      <c r="F46" s="50"/>
      <c r="G46" s="64">
        <f>VLOOKUP(F46,tbl_PLZ[],2,0)</f>
        <v>0</v>
      </c>
      <c r="H46" s="40" t="str">
        <f>IF(F46&lt;&gt;"",IF(ISERROR(MATCH(F46,Hilfstabellen!$G$2:$G$51,0)),"","X"),"")</f>
        <v/>
      </c>
      <c r="I46" s="17"/>
      <c r="J46" s="40" t="str">
        <f>IF(F46&lt;&gt;"",IF(ISERROR(MATCH(F46,Hilfstabellen!$G$52:$G$54,0)),"","X"),"")</f>
        <v/>
      </c>
      <c r="K46" s="17"/>
      <c r="L46" s="40" t="str">
        <f>IF(F46&lt;&gt;"",IF(ISERROR(MATCH(F46,Hilfstabellen!$G$2:$G$55,0)),"X",""),"")</f>
        <v/>
      </c>
      <c r="M46" s="17"/>
      <c r="N46" s="42"/>
    </row>
    <row r="47" spans="1:14" x14ac:dyDescent="0.3">
      <c r="A47" s="31" t="str">
        <f>IF(OR(B47&lt;&gt;"",C47&lt;&gt;""),MAX($A$40:A46)+1,"")</f>
        <v/>
      </c>
      <c r="B47" s="16"/>
      <c r="C47" s="16"/>
      <c r="D47" s="17"/>
      <c r="E47" s="20"/>
      <c r="F47" s="50"/>
      <c r="G47" s="64">
        <f>VLOOKUP(F47,tbl_PLZ[],2,0)</f>
        <v>0</v>
      </c>
      <c r="H47" s="40" t="str">
        <f>IF(F47&lt;&gt;"",IF(ISERROR(MATCH(F47,Hilfstabellen!$G$2:$G$51,0)),"","X"),"")</f>
        <v/>
      </c>
      <c r="I47" s="17"/>
      <c r="J47" s="40" t="str">
        <f>IF(F47&lt;&gt;"",IF(ISERROR(MATCH(F47,Hilfstabellen!$G$52:$G$54,0)),"","X"),"")</f>
        <v/>
      </c>
      <c r="K47" s="17"/>
      <c r="L47" s="40" t="str">
        <f>IF(F47&lt;&gt;"",IF(ISERROR(MATCH(F47,Hilfstabellen!$G$2:$G$55,0)),"X",""),"")</f>
        <v/>
      </c>
      <c r="M47" s="17"/>
      <c r="N47" s="42"/>
    </row>
    <row r="48" spans="1:14" x14ac:dyDescent="0.3">
      <c r="A48" s="31" t="str">
        <f>IF(OR(B48&lt;&gt;"",C48&lt;&gt;""),MAX($A$40:A47)+1,"")</f>
        <v/>
      </c>
      <c r="B48" s="16"/>
      <c r="C48" s="16"/>
      <c r="D48" s="17"/>
      <c r="E48" s="20"/>
      <c r="F48" s="50"/>
      <c r="G48" s="64">
        <f>VLOOKUP(F48,tbl_PLZ[],2,0)</f>
        <v>0</v>
      </c>
      <c r="H48" s="40" t="str">
        <f>IF(F48&lt;&gt;"",IF(ISERROR(MATCH(F48,Hilfstabellen!$G$2:$G$51,0)),"","X"),"")</f>
        <v/>
      </c>
      <c r="I48" s="17"/>
      <c r="J48" s="40" t="str">
        <f>IF(F48&lt;&gt;"",IF(ISERROR(MATCH(F48,Hilfstabellen!$G$52:$G$54,0)),"","X"),"")</f>
        <v/>
      </c>
      <c r="K48" s="17"/>
      <c r="L48" s="40" t="str">
        <f>IF(F48&lt;&gt;"",IF(ISERROR(MATCH(F48,Hilfstabellen!$G$2:$G$55,0)),"X",""),"")</f>
        <v/>
      </c>
      <c r="M48" s="17"/>
      <c r="N48" s="42"/>
    </row>
    <row r="49" spans="1:14" x14ac:dyDescent="0.3">
      <c r="A49" s="31" t="str">
        <f>IF(OR(B49&lt;&gt;"",C49&lt;&gt;""),MAX($A$40:A48)+1,"")</f>
        <v/>
      </c>
      <c r="B49" s="16"/>
      <c r="C49" s="16"/>
      <c r="D49" s="17"/>
      <c r="E49" s="20"/>
      <c r="F49" s="50"/>
      <c r="G49" s="64">
        <f>VLOOKUP(F49,tbl_PLZ[],2,0)</f>
        <v>0</v>
      </c>
      <c r="H49" s="40" t="str">
        <f>IF(F49&lt;&gt;"",IF(ISERROR(MATCH(F49,Hilfstabellen!$G$2:$G$51,0)),"","X"),"")</f>
        <v/>
      </c>
      <c r="I49" s="17"/>
      <c r="J49" s="40" t="str">
        <f>IF(F49&lt;&gt;"",IF(ISERROR(MATCH(F49,Hilfstabellen!$G$52:$G$54,0)),"","X"),"")</f>
        <v/>
      </c>
      <c r="K49" s="17"/>
      <c r="L49" s="40" t="str">
        <f>IF(F49&lt;&gt;"",IF(ISERROR(MATCH(F49,Hilfstabellen!$G$2:$G$55,0)),"X",""),"")</f>
        <v/>
      </c>
      <c r="M49" s="17"/>
      <c r="N49" s="42"/>
    </row>
    <row r="50" spans="1:14" x14ac:dyDescent="0.3">
      <c r="A50" s="31" t="str">
        <f>IF(OR(B50&lt;&gt;"",C50&lt;&gt;""),MAX($A$40:A49)+1,"")</f>
        <v/>
      </c>
      <c r="B50" s="16"/>
      <c r="C50" s="16"/>
      <c r="D50" s="17"/>
      <c r="E50" s="20"/>
      <c r="F50" s="50"/>
      <c r="G50" s="64">
        <f>VLOOKUP(F50,tbl_PLZ[],2,0)</f>
        <v>0</v>
      </c>
      <c r="H50" s="40" t="str">
        <f>IF(F50&lt;&gt;"",IF(ISERROR(MATCH(F50,Hilfstabellen!$G$2:$G$51,0)),"","X"),"")</f>
        <v/>
      </c>
      <c r="I50" s="17"/>
      <c r="J50" s="40" t="str">
        <f>IF(F50&lt;&gt;"",IF(ISERROR(MATCH(F50,Hilfstabellen!$G$52:$G$54,0)),"","X"),"")</f>
        <v/>
      </c>
      <c r="K50" s="17"/>
      <c r="L50" s="40" t="str">
        <f>IF(F50&lt;&gt;"",IF(ISERROR(MATCH(F50,Hilfstabellen!$G$2:$G$55,0)),"X",""),"")</f>
        <v/>
      </c>
      <c r="M50" s="17"/>
      <c r="N50" s="42"/>
    </row>
    <row r="51" spans="1:14" x14ac:dyDescent="0.3">
      <c r="A51" s="31" t="str">
        <f>IF(OR(B51&lt;&gt;"",C51&lt;&gt;""),MAX($A$40:A50)+1,"")</f>
        <v/>
      </c>
      <c r="B51" s="16"/>
      <c r="C51" s="16"/>
      <c r="D51" s="17"/>
      <c r="E51" s="20"/>
      <c r="F51" s="50"/>
      <c r="G51" s="64">
        <f>VLOOKUP(F51,tbl_PLZ[],2,0)</f>
        <v>0</v>
      </c>
      <c r="H51" s="40" t="str">
        <f>IF(F51&lt;&gt;"",IF(ISERROR(MATCH(F51,Hilfstabellen!$G$2:$G$51,0)),"","X"),"")</f>
        <v/>
      </c>
      <c r="I51" s="17"/>
      <c r="J51" s="40" t="str">
        <f>IF(F51&lt;&gt;"",IF(ISERROR(MATCH(F51,Hilfstabellen!$G$52:$G$54,0)),"","X"),"")</f>
        <v/>
      </c>
      <c r="K51" s="17"/>
      <c r="L51" s="40" t="str">
        <f>IF(F51&lt;&gt;"",IF(ISERROR(MATCH(F51,Hilfstabellen!$G$2:$G$55,0)),"X",""),"")</f>
        <v/>
      </c>
      <c r="M51" s="17"/>
      <c r="N51" s="42"/>
    </row>
    <row r="52" spans="1:14" x14ac:dyDescent="0.3">
      <c r="A52" s="31" t="str">
        <f>IF(OR(B52&lt;&gt;"",C52&lt;&gt;""),MAX($A$40:A51)+1,"")</f>
        <v/>
      </c>
      <c r="B52" s="16"/>
      <c r="C52" s="16"/>
      <c r="D52" s="17"/>
      <c r="E52" s="20"/>
      <c r="F52" s="50"/>
      <c r="G52" s="64">
        <f>VLOOKUP(F52,tbl_PLZ[],2,0)</f>
        <v>0</v>
      </c>
      <c r="H52" s="40" t="str">
        <f>IF(F52&lt;&gt;"",IF(ISERROR(MATCH(F52,Hilfstabellen!$G$2:$G$51,0)),"","X"),"")</f>
        <v/>
      </c>
      <c r="I52" s="17"/>
      <c r="J52" s="40" t="str">
        <f>IF(F52&lt;&gt;"",IF(ISERROR(MATCH(F52,Hilfstabellen!$G$52:$G$54,0)),"","X"),"")</f>
        <v/>
      </c>
      <c r="K52" s="17"/>
      <c r="L52" s="40" t="str">
        <f>IF(F52&lt;&gt;"",IF(ISERROR(MATCH(F52,Hilfstabellen!$G$2:$G$55,0)),"X",""),"")</f>
        <v/>
      </c>
      <c r="M52" s="17"/>
      <c r="N52" s="42"/>
    </row>
    <row r="53" spans="1:14" x14ac:dyDescent="0.3">
      <c r="A53" s="31" t="str">
        <f>IF(OR(B53&lt;&gt;"",C53&lt;&gt;""),MAX($A$40:A52)+1,"")</f>
        <v/>
      </c>
      <c r="B53" s="16"/>
      <c r="C53" s="16"/>
      <c r="D53" s="17"/>
      <c r="E53" s="20"/>
      <c r="F53" s="50"/>
      <c r="G53" s="64">
        <f>VLOOKUP(F53,tbl_PLZ[],2,0)</f>
        <v>0</v>
      </c>
      <c r="H53" s="40" t="str">
        <f>IF(F53&lt;&gt;"",IF(ISERROR(MATCH(F53,Hilfstabellen!$G$2:$G$51,0)),"","X"),"")</f>
        <v/>
      </c>
      <c r="I53" s="17"/>
      <c r="J53" s="40" t="str">
        <f>IF(F53&lt;&gt;"",IF(ISERROR(MATCH(F53,Hilfstabellen!$G$52:$G$54,0)),"","X"),"")</f>
        <v/>
      </c>
      <c r="K53" s="17"/>
      <c r="L53" s="40" t="str">
        <f>IF(F53&lt;&gt;"",IF(ISERROR(MATCH(F53,Hilfstabellen!$G$2:$G$55,0)),"X",""),"")</f>
        <v/>
      </c>
      <c r="M53" s="17"/>
      <c r="N53" s="42"/>
    </row>
    <row r="54" spans="1:14" x14ac:dyDescent="0.3">
      <c r="A54" s="31" t="str">
        <f>IF(OR(B54&lt;&gt;"",C54&lt;&gt;""),MAX($A$40:A53)+1,"")</f>
        <v/>
      </c>
      <c r="B54" s="16"/>
      <c r="C54" s="16"/>
      <c r="D54" s="17"/>
      <c r="E54" s="20"/>
      <c r="F54" s="50"/>
      <c r="G54" s="64">
        <f>VLOOKUP(F54,tbl_PLZ[],2,0)</f>
        <v>0</v>
      </c>
      <c r="H54" s="40" t="str">
        <f>IF(F54&lt;&gt;"",IF(ISERROR(MATCH(F54,Hilfstabellen!$G$2:$G$51,0)),"","X"),"")</f>
        <v/>
      </c>
      <c r="I54" s="17"/>
      <c r="J54" s="40" t="str">
        <f>IF(F54&lt;&gt;"",IF(ISERROR(MATCH(F54,Hilfstabellen!$G$52:$G$54,0)),"","X"),"")</f>
        <v/>
      </c>
      <c r="K54" s="17"/>
      <c r="L54" s="40" t="str">
        <f>IF(F54&lt;&gt;"",IF(ISERROR(MATCH(F54,Hilfstabellen!$G$2:$G$55,0)),"X",""),"")</f>
        <v/>
      </c>
      <c r="M54" s="17"/>
      <c r="N54" s="42"/>
    </row>
    <row r="55" spans="1:14" x14ac:dyDescent="0.3">
      <c r="A55" s="31" t="str">
        <f>IF(OR(B55&lt;&gt;"",C55&lt;&gt;""),MAX($A$40:A54)+1,"")</f>
        <v/>
      </c>
      <c r="B55" s="16"/>
      <c r="C55" s="16"/>
      <c r="D55" s="17"/>
      <c r="E55" s="20"/>
      <c r="F55" s="50"/>
      <c r="G55" s="64">
        <f>VLOOKUP(F55,tbl_PLZ[],2,0)</f>
        <v>0</v>
      </c>
      <c r="H55" s="40" t="str">
        <f>IF(F55&lt;&gt;"",IF(ISERROR(MATCH(F55,Hilfstabellen!$G$2:$G$51,0)),"","X"),"")</f>
        <v/>
      </c>
      <c r="I55" s="17"/>
      <c r="J55" s="40" t="str">
        <f>IF(F55&lt;&gt;"",IF(ISERROR(MATCH(F55,Hilfstabellen!$G$52:$G$54,0)),"","X"),"")</f>
        <v/>
      </c>
      <c r="K55" s="17"/>
      <c r="L55" s="40" t="str">
        <f>IF(F55&lt;&gt;"",IF(ISERROR(MATCH(F55,Hilfstabellen!$G$2:$G$55,0)),"X",""),"")</f>
        <v/>
      </c>
      <c r="M55" s="17"/>
      <c r="N55" s="42"/>
    </row>
    <row r="56" spans="1:14" x14ac:dyDescent="0.3">
      <c r="A56" s="31" t="str">
        <f>IF(OR(B56&lt;&gt;"",C56&lt;&gt;""),MAX($A$40:A55)+1,"")</f>
        <v/>
      </c>
      <c r="B56" s="16"/>
      <c r="C56" s="16"/>
      <c r="D56" s="17"/>
      <c r="E56" s="20"/>
      <c r="F56" s="50"/>
      <c r="G56" s="64">
        <f>VLOOKUP(F56,tbl_PLZ[],2,0)</f>
        <v>0</v>
      </c>
      <c r="H56" s="40" t="str">
        <f>IF(F56&lt;&gt;"",IF(ISERROR(MATCH(F56,Hilfstabellen!$G$2:$G$51,0)),"","X"),"")</f>
        <v/>
      </c>
      <c r="I56" s="17"/>
      <c r="J56" s="40" t="str">
        <f>IF(F56&lt;&gt;"",IF(ISERROR(MATCH(F56,Hilfstabellen!$G$52:$G$54,0)),"","X"),"")</f>
        <v/>
      </c>
      <c r="K56" s="17"/>
      <c r="L56" s="40" t="str">
        <f>IF(F56&lt;&gt;"",IF(ISERROR(MATCH(F56,Hilfstabellen!$G$2:$G$55,0)),"X",""),"")</f>
        <v/>
      </c>
      <c r="M56" s="17"/>
      <c r="N56" s="42"/>
    </row>
    <row r="57" spans="1:14" x14ac:dyDescent="0.3">
      <c r="A57" s="31" t="str">
        <f>IF(OR(B57&lt;&gt;"",C57&lt;&gt;""),MAX($A$40:A56)+1,"")</f>
        <v/>
      </c>
      <c r="B57" s="16"/>
      <c r="C57" s="16"/>
      <c r="D57" s="17"/>
      <c r="E57" s="20"/>
      <c r="F57" s="50"/>
      <c r="G57" s="64">
        <f>VLOOKUP(F57,tbl_PLZ[],2,0)</f>
        <v>0</v>
      </c>
      <c r="H57" s="40" t="str">
        <f>IF(F57&lt;&gt;"",IF(ISERROR(MATCH(F57,Hilfstabellen!$G$2:$G$51,0)),"","X"),"")</f>
        <v/>
      </c>
      <c r="I57" s="17"/>
      <c r="J57" s="40" t="str">
        <f>IF(F57&lt;&gt;"",IF(ISERROR(MATCH(F57,Hilfstabellen!$G$52:$G$54,0)),"","X"),"")</f>
        <v/>
      </c>
      <c r="K57" s="17"/>
      <c r="L57" s="40" t="str">
        <f>IF(F57&lt;&gt;"",IF(ISERROR(MATCH(F57,Hilfstabellen!$G$2:$G$55,0)),"X",""),"")</f>
        <v/>
      </c>
      <c r="M57" s="17"/>
      <c r="N57" s="42"/>
    </row>
    <row r="58" spans="1:14" x14ac:dyDescent="0.3">
      <c r="A58" s="31" t="str">
        <f>IF(OR(B58&lt;&gt;"",C58&lt;&gt;""),MAX($A$40:A57)+1,"")</f>
        <v/>
      </c>
      <c r="B58" s="16"/>
      <c r="C58" s="16"/>
      <c r="D58" s="17"/>
      <c r="E58" s="20"/>
      <c r="F58" s="50"/>
      <c r="G58" s="64">
        <f>VLOOKUP(F58,tbl_PLZ[],2,0)</f>
        <v>0</v>
      </c>
      <c r="H58" s="40" t="str">
        <f>IF(F58&lt;&gt;"",IF(ISERROR(MATCH(F58,Hilfstabellen!$G$2:$G$51,0)),"","X"),"")</f>
        <v/>
      </c>
      <c r="I58" s="17"/>
      <c r="J58" s="40" t="str">
        <f>IF(F58&lt;&gt;"",IF(ISERROR(MATCH(F58,Hilfstabellen!$G$52:$G$54,0)),"","X"),"")</f>
        <v/>
      </c>
      <c r="K58" s="17"/>
      <c r="L58" s="40" t="str">
        <f>IF(F58&lt;&gt;"",IF(ISERROR(MATCH(F58,Hilfstabellen!$G$2:$G$55,0)),"X",""),"")</f>
        <v/>
      </c>
      <c r="M58" s="17"/>
      <c r="N58" s="42"/>
    </row>
    <row r="59" spans="1:14" x14ac:dyDescent="0.3">
      <c r="A59" s="31" t="str">
        <f>IF(OR(B59&lt;&gt;"",C59&lt;&gt;""),MAX($A$40:A58)+1,"")</f>
        <v/>
      </c>
      <c r="B59" s="16"/>
      <c r="C59" s="16"/>
      <c r="D59" s="17"/>
      <c r="E59" s="20"/>
      <c r="F59" s="50"/>
      <c r="G59" s="64">
        <f>VLOOKUP(F59,tbl_PLZ[],2,0)</f>
        <v>0</v>
      </c>
      <c r="H59" s="40" t="str">
        <f>IF(F59&lt;&gt;"",IF(ISERROR(MATCH(F59,Hilfstabellen!$G$2:$G$51,0)),"","X"),"")</f>
        <v/>
      </c>
      <c r="I59" s="17"/>
      <c r="J59" s="40" t="str">
        <f>IF(F59&lt;&gt;"",IF(ISERROR(MATCH(F59,Hilfstabellen!$G$52:$G$54,0)),"","X"),"")</f>
        <v/>
      </c>
      <c r="K59" s="17"/>
      <c r="L59" s="40" t="str">
        <f>IF(F59&lt;&gt;"",IF(ISERROR(MATCH(F59,Hilfstabellen!$G$2:$G$55,0)),"X",""),"")</f>
        <v/>
      </c>
      <c r="M59" s="17"/>
      <c r="N59" s="42"/>
    </row>
    <row r="60" spans="1:14" x14ac:dyDescent="0.3">
      <c r="A60" s="31" t="str">
        <f>IF(OR(B60&lt;&gt;"",C60&lt;&gt;""),MAX($A$40:A59)+1,"")</f>
        <v/>
      </c>
      <c r="B60" s="16"/>
      <c r="C60" s="16"/>
      <c r="D60" s="17"/>
      <c r="E60" s="20"/>
      <c r="F60" s="50"/>
      <c r="G60" s="64">
        <f>VLOOKUP(F60,tbl_PLZ[],2,0)</f>
        <v>0</v>
      </c>
      <c r="H60" s="40" t="str">
        <f>IF(F60&lt;&gt;"",IF(ISERROR(MATCH(F60,Hilfstabellen!$G$2:$G$51,0)),"","X"),"")</f>
        <v/>
      </c>
      <c r="I60" s="17"/>
      <c r="J60" s="40" t="str">
        <f>IF(F60&lt;&gt;"",IF(ISERROR(MATCH(F60,Hilfstabellen!$G$52:$G$54,0)),"","X"),"")</f>
        <v/>
      </c>
      <c r="K60" s="17"/>
      <c r="L60" s="40" t="str">
        <f>IF(F60&lt;&gt;"",IF(ISERROR(MATCH(F60,Hilfstabellen!$G$2:$G$55,0)),"X",""),"")</f>
        <v/>
      </c>
      <c r="M60" s="17"/>
      <c r="N60" s="42"/>
    </row>
    <row r="61" spans="1:14" x14ac:dyDescent="0.3">
      <c r="A61" s="31" t="str">
        <f>IF(OR(B61&lt;&gt;"",C61&lt;&gt;""),MAX($A$40:A60)+1,"")</f>
        <v/>
      </c>
      <c r="B61" s="16"/>
      <c r="C61" s="16"/>
      <c r="D61" s="17"/>
      <c r="E61" s="20"/>
      <c r="F61" s="50"/>
      <c r="G61" s="64">
        <f>VLOOKUP(F61,tbl_PLZ[],2,0)</f>
        <v>0</v>
      </c>
      <c r="H61" s="40" t="str">
        <f>IF(F61&lt;&gt;"",IF(ISERROR(MATCH(F61,Hilfstabellen!$G$2:$G$51,0)),"","X"),"")</f>
        <v/>
      </c>
      <c r="I61" s="17"/>
      <c r="J61" s="40" t="str">
        <f>IF(F61&lt;&gt;"",IF(ISERROR(MATCH(F61,Hilfstabellen!$G$52:$G$54,0)),"","X"),"")</f>
        <v/>
      </c>
      <c r="K61" s="17"/>
      <c r="L61" s="40" t="str">
        <f>IF(F61&lt;&gt;"",IF(ISERROR(MATCH(F61,Hilfstabellen!$G$2:$G$55,0)),"X",""),"")</f>
        <v/>
      </c>
      <c r="M61" s="17"/>
      <c r="N61" s="42"/>
    </row>
    <row r="62" spans="1:14" x14ac:dyDescent="0.3">
      <c r="A62" s="31" t="str">
        <f>IF(OR(B62&lt;&gt;"",C62&lt;&gt;""),MAX($A$40:A61)+1,"")</f>
        <v/>
      </c>
      <c r="B62" s="16"/>
      <c r="C62" s="16"/>
      <c r="D62" s="17"/>
      <c r="E62" s="20"/>
      <c r="F62" s="50"/>
      <c r="G62" s="64">
        <f>VLOOKUP(F62,tbl_PLZ[],2,0)</f>
        <v>0</v>
      </c>
      <c r="H62" s="40" t="str">
        <f>IF(F62&lt;&gt;"",IF(ISERROR(MATCH(F62,Hilfstabellen!$G$2:$G$51,0)),"","X"),"")</f>
        <v/>
      </c>
      <c r="I62" s="17"/>
      <c r="J62" s="40" t="str">
        <f>IF(F62&lt;&gt;"",IF(ISERROR(MATCH(F62,Hilfstabellen!$G$52:$G$54,0)),"","X"),"")</f>
        <v/>
      </c>
      <c r="K62" s="17"/>
      <c r="L62" s="40" t="str">
        <f>IF(F62&lt;&gt;"",IF(ISERROR(MATCH(F62,Hilfstabellen!$G$2:$G$55,0)),"X",""),"")</f>
        <v/>
      </c>
      <c r="M62" s="17"/>
      <c r="N62" s="42"/>
    </row>
    <row r="63" spans="1:14" x14ac:dyDescent="0.3">
      <c r="A63" s="31" t="str">
        <f>IF(OR(B63&lt;&gt;"",C63&lt;&gt;""),MAX($A$40:A62)+1,"")</f>
        <v/>
      </c>
      <c r="B63" s="16"/>
      <c r="C63" s="16"/>
      <c r="D63" s="17"/>
      <c r="E63" s="20"/>
      <c r="F63" s="50"/>
      <c r="G63" s="64">
        <f>VLOOKUP(F63,tbl_PLZ[],2,0)</f>
        <v>0</v>
      </c>
      <c r="H63" s="40" t="str">
        <f>IF(F63&lt;&gt;"",IF(ISERROR(MATCH(F63,Hilfstabellen!$G$2:$G$51,0)),"","X"),"")</f>
        <v/>
      </c>
      <c r="I63" s="17"/>
      <c r="J63" s="40" t="str">
        <f>IF(F63&lt;&gt;"",IF(ISERROR(MATCH(F63,Hilfstabellen!$G$52:$G$54,0)),"","X"),"")</f>
        <v/>
      </c>
      <c r="K63" s="17"/>
      <c r="L63" s="40" t="str">
        <f>IF(F63&lt;&gt;"",IF(ISERROR(MATCH(F63,Hilfstabellen!$G$2:$G$55,0)),"X",""),"")</f>
        <v/>
      </c>
      <c r="M63" s="17"/>
      <c r="N63" s="42"/>
    </row>
    <row r="64" spans="1:14" x14ac:dyDescent="0.3">
      <c r="A64" s="31" t="str">
        <f>IF(OR(B64&lt;&gt;"",C64&lt;&gt;""),MAX($A$40:A63)+1,"")</f>
        <v/>
      </c>
      <c r="B64" s="16"/>
      <c r="C64" s="16"/>
      <c r="D64" s="17"/>
      <c r="E64" s="20"/>
      <c r="F64" s="50"/>
      <c r="G64" s="49">
        <f>VLOOKUP(F64,tbl_PLZ[],2,0)</f>
        <v>0</v>
      </c>
      <c r="H64" s="40" t="str">
        <f>IF(F64&lt;&gt;"",IF(ISERROR(MATCH(F64,Hilfstabellen!$G$2:$G$51,0)),"","X"),"")</f>
        <v/>
      </c>
      <c r="I64" s="17"/>
      <c r="J64" s="40" t="str">
        <f>IF(F64&lt;&gt;"",IF(ISERROR(MATCH(F64,Hilfstabellen!$G$52:$G$54,0)),"","X"),"")</f>
        <v/>
      </c>
      <c r="K64" s="17"/>
      <c r="L64" s="40" t="str">
        <f>IF(F64&lt;&gt;"",IF(ISERROR(MATCH(F64,Hilfstabellen!$G$2:$G$55,0)),"X",""),"")</f>
        <v/>
      </c>
      <c r="M64" s="17"/>
      <c r="N64" s="42"/>
    </row>
    <row r="65" spans="1:14" x14ac:dyDescent="0.3">
      <c r="A65" s="31" t="str">
        <f>IF(OR(B65&lt;&gt;"",C65&lt;&gt;""),MAX($A$40:A64)+1,"")</f>
        <v/>
      </c>
      <c r="B65" s="16"/>
      <c r="C65" s="16"/>
      <c r="D65" s="17"/>
      <c r="E65" s="20"/>
      <c r="F65" s="50"/>
      <c r="G65" s="49">
        <f>VLOOKUP(F65,tbl_PLZ[],2,0)</f>
        <v>0</v>
      </c>
      <c r="H65" s="40" t="str">
        <f>IF(F65&lt;&gt;"",IF(ISERROR(MATCH(F65,Hilfstabellen!$G$2:$G$51,0)),"","X"),"")</f>
        <v/>
      </c>
      <c r="I65" s="17"/>
      <c r="J65" s="40" t="str">
        <f>IF(F65&lt;&gt;"",IF(ISERROR(MATCH(F65,Hilfstabellen!$G$52:$G$54,0)),"","X"),"")</f>
        <v/>
      </c>
      <c r="K65" s="17"/>
      <c r="L65" s="40" t="str">
        <f>IF(F65&lt;&gt;"",IF(ISERROR(MATCH(F65,Hilfstabellen!$G$2:$G$55,0)),"X",""),"")</f>
        <v/>
      </c>
      <c r="M65" s="17"/>
      <c r="N65" s="42"/>
    </row>
    <row r="66" spans="1:14" x14ac:dyDescent="0.3">
      <c r="A66" s="31" t="str">
        <f>IF(OR(B66&lt;&gt;"",C66&lt;&gt;""),MAX($A$40:A65)+1,"")</f>
        <v/>
      </c>
      <c r="B66" s="16"/>
      <c r="C66" s="16"/>
      <c r="D66" s="17"/>
      <c r="E66" s="20"/>
      <c r="F66" s="50"/>
      <c r="G66" s="49">
        <f>VLOOKUP(F66,tbl_PLZ[],2,0)</f>
        <v>0</v>
      </c>
      <c r="H66" s="40" t="str">
        <f>IF(F66&lt;&gt;"",IF(ISERROR(MATCH(F66,Hilfstabellen!$G$2:$G$51,0)),"","X"),"")</f>
        <v/>
      </c>
      <c r="I66" s="17"/>
      <c r="J66" s="40" t="str">
        <f>IF(F66&lt;&gt;"",IF(ISERROR(MATCH(F66,Hilfstabellen!$G$52:$G$54,0)),"","X"),"")</f>
        <v/>
      </c>
      <c r="K66" s="17"/>
      <c r="L66" s="40" t="str">
        <f>IF(F66&lt;&gt;"",IF(ISERROR(MATCH(F66,Hilfstabellen!$G$2:$G$55,0)),"X",""),"")</f>
        <v/>
      </c>
      <c r="M66" s="17"/>
      <c r="N66" s="42"/>
    </row>
    <row r="67" spans="1:14" x14ac:dyDescent="0.3">
      <c r="A67" s="31" t="str">
        <f>IF(OR(B67&lt;&gt;"",C67&lt;&gt;""),MAX($A$40:A66)+1,"")</f>
        <v/>
      </c>
      <c r="B67" s="16"/>
      <c r="C67" s="16"/>
      <c r="D67" s="17"/>
      <c r="E67" s="20"/>
      <c r="F67" s="50"/>
      <c r="G67" s="49">
        <f>VLOOKUP(F67,tbl_PLZ[],2,0)</f>
        <v>0</v>
      </c>
      <c r="H67" s="40" t="str">
        <f>IF(F67&lt;&gt;"",IF(ISERROR(MATCH(F67,Hilfstabellen!$G$2:$G$51,0)),"","X"),"")</f>
        <v/>
      </c>
      <c r="I67" s="17"/>
      <c r="J67" s="40" t="str">
        <f>IF(F67&lt;&gt;"",IF(ISERROR(MATCH(F67,Hilfstabellen!$G$52:$G$54,0)),"","X"),"")</f>
        <v/>
      </c>
      <c r="K67" s="17"/>
      <c r="L67" s="40" t="str">
        <f>IF(F67&lt;&gt;"",IF(ISERROR(MATCH(F67,Hilfstabellen!$G$2:$G$55,0)),"X",""),"")</f>
        <v/>
      </c>
      <c r="M67" s="17"/>
      <c r="N67" s="42"/>
    </row>
    <row r="68" spans="1:14" x14ac:dyDescent="0.3">
      <c r="A68" s="31" t="str">
        <f>IF(OR(B68&lt;&gt;"",C68&lt;&gt;""),MAX($A$40:A67)+1,"")</f>
        <v/>
      </c>
      <c r="B68" s="16"/>
      <c r="C68" s="16"/>
      <c r="D68" s="17"/>
      <c r="E68" s="20"/>
      <c r="F68" s="50"/>
      <c r="G68" s="49">
        <f>VLOOKUP(F68,tbl_PLZ[],2,0)</f>
        <v>0</v>
      </c>
      <c r="H68" s="40" t="str">
        <f>IF(F68&lt;&gt;"",IF(ISERROR(MATCH(F68,Hilfstabellen!$G$2:$G$51,0)),"","X"),"")</f>
        <v/>
      </c>
      <c r="I68" s="17"/>
      <c r="J68" s="40" t="str">
        <f>IF(F68&lt;&gt;"",IF(ISERROR(MATCH(F68,Hilfstabellen!$G$52:$G$54,0)),"","X"),"")</f>
        <v/>
      </c>
      <c r="K68" s="17"/>
      <c r="L68" s="40" t="str">
        <f>IF(F68&lt;&gt;"",IF(ISERROR(MATCH(F68,Hilfstabellen!$G$2:$G$55,0)),"X",""),"")</f>
        <v/>
      </c>
      <c r="M68" s="17"/>
      <c r="N68" s="42"/>
    </row>
    <row r="69" spans="1:14" x14ac:dyDescent="0.3">
      <c r="A69" s="31" t="str">
        <f>IF(OR(B69&lt;&gt;"",C69&lt;&gt;""),MAX($A$40:A68)+1,"")</f>
        <v/>
      </c>
      <c r="B69" s="16"/>
      <c r="C69" s="16"/>
      <c r="D69" s="17"/>
      <c r="E69" s="20"/>
      <c r="F69" s="50"/>
      <c r="G69" s="49">
        <f>VLOOKUP(F69,tbl_PLZ[],2,0)</f>
        <v>0</v>
      </c>
      <c r="H69" s="40" t="str">
        <f>IF(F69&lt;&gt;"",IF(ISERROR(MATCH(F69,Hilfstabellen!$G$2:$G$51,0)),"","X"),"")</f>
        <v/>
      </c>
      <c r="I69" s="17"/>
      <c r="J69" s="40" t="str">
        <f>IF(F69&lt;&gt;"",IF(ISERROR(MATCH(F69,Hilfstabellen!$G$52:$G$54,0)),"","X"),"")</f>
        <v/>
      </c>
      <c r="K69" s="17"/>
      <c r="L69" s="40" t="str">
        <f>IF(F69&lt;&gt;"",IF(ISERROR(MATCH(F69,Hilfstabellen!$G$2:$G$55,0)),"X",""),"")</f>
        <v/>
      </c>
      <c r="M69" s="17"/>
      <c r="N69" s="42"/>
    </row>
    <row r="70" spans="1:14" x14ac:dyDescent="0.3">
      <c r="A70" s="31" t="str">
        <f>IF(OR(B70&lt;&gt;"",C70&lt;&gt;""),MAX($A$40:A69)+1,"")</f>
        <v/>
      </c>
      <c r="B70" s="16"/>
      <c r="C70" s="16"/>
      <c r="D70" s="17"/>
      <c r="E70" s="20"/>
      <c r="F70" s="50"/>
      <c r="G70" s="49">
        <f>VLOOKUP(F70,tbl_PLZ[],2,0)</f>
        <v>0</v>
      </c>
      <c r="H70" s="40" t="str">
        <f>IF(F70&lt;&gt;"",IF(ISERROR(MATCH(F70,Hilfstabellen!$G$2:$G$51,0)),"","X"),"")</f>
        <v/>
      </c>
      <c r="I70" s="17"/>
      <c r="J70" s="40" t="str">
        <f>IF(F70&lt;&gt;"",IF(ISERROR(MATCH(F70,Hilfstabellen!$G$52:$G$54,0)),"","X"),"")</f>
        <v/>
      </c>
      <c r="K70" s="17"/>
      <c r="L70" s="40" t="str">
        <f>IF(F70&lt;&gt;"",IF(ISERROR(MATCH(F70,Hilfstabellen!$G$2:$G$55,0)),"X",""),"")</f>
        <v/>
      </c>
      <c r="M70" s="17"/>
      <c r="N70" s="42"/>
    </row>
    <row r="71" spans="1:14" x14ac:dyDescent="0.3">
      <c r="A71" s="31" t="str">
        <f>IF(OR(B71&lt;&gt;"",C71&lt;&gt;""),MAX($A$40:A70)+1,"")</f>
        <v/>
      </c>
      <c r="B71" s="16"/>
      <c r="C71" s="16"/>
      <c r="D71" s="17"/>
      <c r="E71" s="20"/>
      <c r="F71" s="50"/>
      <c r="G71" s="49">
        <f>VLOOKUP(F71,tbl_PLZ[],2,0)</f>
        <v>0</v>
      </c>
      <c r="H71" s="40" t="str">
        <f>IF(F71&lt;&gt;"",IF(ISERROR(MATCH(F71,Hilfstabellen!$G$2:$G$51,0)),"","X"),"")</f>
        <v/>
      </c>
      <c r="I71" s="17"/>
      <c r="J71" s="40" t="str">
        <f>IF(F71&lt;&gt;"",IF(ISERROR(MATCH(F71,Hilfstabellen!$G$52:$G$54,0)),"","X"),"")</f>
        <v/>
      </c>
      <c r="K71" s="17"/>
      <c r="L71" s="40" t="str">
        <f>IF(F71&lt;&gt;"",IF(ISERROR(MATCH(F71,Hilfstabellen!$G$2:$G$55,0)),"X",""),"")</f>
        <v/>
      </c>
      <c r="M71" s="17"/>
      <c r="N71" s="42"/>
    </row>
    <row r="72" spans="1:14" x14ac:dyDescent="0.3">
      <c r="A72" s="31" t="str">
        <f>IF(OR(B72&lt;&gt;"",C72&lt;&gt;""),MAX($A$40:A71)+1,"")</f>
        <v/>
      </c>
      <c r="B72" s="16"/>
      <c r="C72" s="16"/>
      <c r="D72" s="17"/>
      <c r="E72" s="20"/>
      <c r="F72" s="50"/>
      <c r="G72" s="49">
        <f>VLOOKUP(F72,tbl_PLZ[],2,0)</f>
        <v>0</v>
      </c>
      <c r="H72" s="40" t="str">
        <f>IF(F72&lt;&gt;"",IF(ISERROR(MATCH(F72,Hilfstabellen!$G$2:$G$51,0)),"","X"),"")</f>
        <v/>
      </c>
      <c r="I72" s="17"/>
      <c r="J72" s="40" t="str">
        <f>IF(F72&lt;&gt;"",IF(ISERROR(MATCH(F72,Hilfstabellen!$G$52:$G$54,0)),"","X"),"")</f>
        <v/>
      </c>
      <c r="K72" s="17"/>
      <c r="L72" s="40" t="str">
        <f>IF(F72&lt;&gt;"",IF(ISERROR(MATCH(F72,Hilfstabellen!$G$2:$G$55,0)),"X",""),"")</f>
        <v/>
      </c>
      <c r="M72" s="17"/>
      <c r="N72" s="42"/>
    </row>
    <row r="73" spans="1:14" x14ac:dyDescent="0.3">
      <c r="A73" s="31" t="str">
        <f>IF(OR(B73&lt;&gt;"",C73&lt;&gt;""),MAX($A$40:A72)+1,"")</f>
        <v/>
      </c>
      <c r="B73" s="16"/>
      <c r="C73" s="16"/>
      <c r="D73" s="17"/>
      <c r="E73" s="20"/>
      <c r="F73" s="50"/>
      <c r="G73" s="49">
        <f>VLOOKUP(F73,tbl_PLZ[],2,0)</f>
        <v>0</v>
      </c>
      <c r="H73" s="40" t="str">
        <f>IF(F73&lt;&gt;"",IF(ISERROR(MATCH(F73,Hilfstabellen!$G$2:$G$51,0)),"","X"),"")</f>
        <v/>
      </c>
      <c r="I73" s="17"/>
      <c r="J73" s="40" t="str">
        <f>IF(F73&lt;&gt;"",IF(ISERROR(MATCH(F73,Hilfstabellen!$G$52:$G$54,0)),"","X"),"")</f>
        <v/>
      </c>
      <c r="K73" s="17"/>
      <c r="L73" s="40" t="str">
        <f>IF(F73&lt;&gt;"",IF(ISERROR(MATCH(F73,Hilfstabellen!$G$2:$G$55,0)),"X",""),"")</f>
        <v/>
      </c>
      <c r="M73" s="17"/>
      <c r="N73" s="42"/>
    </row>
    <row r="74" spans="1:14" x14ac:dyDescent="0.3">
      <c r="A74" s="31" t="str">
        <f>IF(OR(B74&lt;&gt;"",C74&lt;&gt;""),MAX($A$40:A73)+1,"")</f>
        <v/>
      </c>
      <c r="B74" s="16"/>
      <c r="C74" s="16"/>
      <c r="D74" s="17"/>
      <c r="E74" s="20"/>
      <c r="F74" s="50"/>
      <c r="G74" s="49">
        <f>VLOOKUP(F74,tbl_PLZ[],2,0)</f>
        <v>0</v>
      </c>
      <c r="H74" s="40" t="str">
        <f>IF(F74&lt;&gt;"",IF(ISERROR(MATCH(F74,Hilfstabellen!$G$2:$G$51,0)),"","X"),"")</f>
        <v/>
      </c>
      <c r="I74" s="17"/>
      <c r="J74" s="40" t="str">
        <f>IF(F74&lt;&gt;"",IF(ISERROR(MATCH(F74,Hilfstabellen!$G$52:$G$54,0)),"","X"),"")</f>
        <v/>
      </c>
      <c r="K74" s="17"/>
      <c r="L74" s="40" t="str">
        <f>IF(F74&lt;&gt;"",IF(ISERROR(MATCH(F74,Hilfstabellen!$G$2:$G$55,0)),"X",""),"")</f>
        <v/>
      </c>
      <c r="M74" s="17"/>
      <c r="N74" s="42"/>
    </row>
    <row r="75" spans="1:14" x14ac:dyDescent="0.3">
      <c r="A75" s="31" t="str">
        <f>IF(OR(B75&lt;&gt;"",C75&lt;&gt;""),MAX($A$40:A74)+1,"")</f>
        <v/>
      </c>
      <c r="B75" s="16"/>
      <c r="C75" s="16"/>
      <c r="D75" s="17"/>
      <c r="E75" s="20"/>
      <c r="F75" s="50"/>
      <c r="G75" s="49">
        <f>VLOOKUP(F75,tbl_PLZ[],2,0)</f>
        <v>0</v>
      </c>
      <c r="H75" s="40" t="str">
        <f>IF(F75&lt;&gt;"",IF(ISERROR(MATCH(F75,Hilfstabellen!$G$2:$G$51,0)),"","X"),"")</f>
        <v/>
      </c>
      <c r="I75" s="17"/>
      <c r="J75" s="40" t="str">
        <f>IF(F75&lt;&gt;"",IF(ISERROR(MATCH(F75,Hilfstabellen!$G$52:$G$54,0)),"","X"),"")</f>
        <v/>
      </c>
      <c r="K75" s="17"/>
      <c r="L75" s="40" t="str">
        <f>IF(F75&lt;&gt;"",IF(ISERROR(MATCH(F75,Hilfstabellen!$G$2:$G$55,0)),"X",""),"")</f>
        <v/>
      </c>
      <c r="M75" s="17"/>
      <c r="N75" s="42"/>
    </row>
    <row r="76" spans="1:14" x14ac:dyDescent="0.3">
      <c r="A76" s="31" t="str">
        <f>IF(OR(B76&lt;&gt;"",C76&lt;&gt;""),MAX($A$40:A75)+1,"")</f>
        <v/>
      </c>
      <c r="B76" s="16"/>
      <c r="C76" s="16"/>
      <c r="D76" s="17"/>
      <c r="E76" s="20"/>
      <c r="F76" s="50"/>
      <c r="G76" s="49">
        <f>VLOOKUP(F76,tbl_PLZ[],2,0)</f>
        <v>0</v>
      </c>
      <c r="H76" s="40" t="str">
        <f>IF(F76&lt;&gt;"",IF(ISERROR(MATCH(F76,Hilfstabellen!$G$2:$G$51,0)),"","X"),"")</f>
        <v/>
      </c>
      <c r="I76" s="17"/>
      <c r="J76" s="40" t="str">
        <f>IF(F76&lt;&gt;"",IF(ISERROR(MATCH(F76,Hilfstabellen!$G$52:$G$54,0)),"","X"),"")</f>
        <v/>
      </c>
      <c r="K76" s="17"/>
      <c r="L76" s="40" t="str">
        <f>IF(F76&lt;&gt;"",IF(ISERROR(MATCH(F76,Hilfstabellen!$G$2:$G$55,0)),"X",""),"")</f>
        <v/>
      </c>
      <c r="M76" s="17"/>
      <c r="N76" s="42"/>
    </row>
    <row r="77" spans="1:14" x14ac:dyDescent="0.3">
      <c r="A77" s="31" t="str">
        <f>IF(OR(B77&lt;&gt;"",C77&lt;&gt;""),MAX($A$40:A76)+1,"")</f>
        <v/>
      </c>
      <c r="B77" s="16"/>
      <c r="C77" s="16"/>
      <c r="D77" s="17"/>
      <c r="E77" s="20"/>
      <c r="F77" s="50"/>
      <c r="G77" s="49">
        <f>VLOOKUP(F77,tbl_PLZ[],2,0)</f>
        <v>0</v>
      </c>
      <c r="H77" s="40" t="str">
        <f>IF(F77&lt;&gt;"",IF(ISERROR(MATCH(F77,Hilfstabellen!$G$2:$G$51,0)),"","X"),"")</f>
        <v/>
      </c>
      <c r="I77" s="17"/>
      <c r="J77" s="40" t="str">
        <f>IF(F77&lt;&gt;"",IF(ISERROR(MATCH(F77,Hilfstabellen!$G$52:$G$54,0)),"","X"),"")</f>
        <v/>
      </c>
      <c r="K77" s="17"/>
      <c r="L77" s="40" t="str">
        <f>IF(F77&lt;&gt;"",IF(ISERROR(MATCH(F77,Hilfstabellen!$G$2:$G$55,0)),"X",""),"")</f>
        <v/>
      </c>
      <c r="M77" s="17"/>
      <c r="N77" s="42"/>
    </row>
    <row r="78" spans="1:14" x14ac:dyDescent="0.3">
      <c r="A78" s="31" t="str">
        <f>IF(OR(B78&lt;&gt;"",C78&lt;&gt;""),MAX($A$40:A77)+1,"")</f>
        <v/>
      </c>
      <c r="B78" s="16"/>
      <c r="C78" s="16"/>
      <c r="D78" s="17"/>
      <c r="E78" s="20"/>
      <c r="F78" s="50"/>
      <c r="G78" s="49">
        <f>VLOOKUP(F78,tbl_PLZ[],2,0)</f>
        <v>0</v>
      </c>
      <c r="H78" s="40" t="str">
        <f>IF(F78&lt;&gt;"",IF(ISERROR(MATCH(F78,Hilfstabellen!$G$2:$G$51,0)),"","X"),"")</f>
        <v/>
      </c>
      <c r="I78" s="17"/>
      <c r="J78" s="40" t="str">
        <f>IF(F78&lt;&gt;"",IF(ISERROR(MATCH(F78,Hilfstabellen!$G$52:$G$54,0)),"","X"),"")</f>
        <v/>
      </c>
      <c r="K78" s="17"/>
      <c r="L78" s="40" t="str">
        <f>IF(F78&lt;&gt;"",IF(ISERROR(MATCH(F78,Hilfstabellen!$G$2:$G$55,0)),"X",""),"")</f>
        <v/>
      </c>
      <c r="M78" s="17"/>
      <c r="N78" s="42"/>
    </row>
    <row r="79" spans="1:14" x14ac:dyDescent="0.3">
      <c r="A79" s="31" t="str">
        <f>IF(OR(B79&lt;&gt;"",C79&lt;&gt;""),MAX($A$40:A78)+1,"")</f>
        <v/>
      </c>
      <c r="B79" s="16"/>
      <c r="C79" s="16"/>
      <c r="D79" s="17"/>
      <c r="E79" s="20"/>
      <c r="F79" s="50"/>
      <c r="G79" s="49">
        <f>VLOOKUP(F79,tbl_PLZ[],2,0)</f>
        <v>0</v>
      </c>
      <c r="H79" s="40" t="str">
        <f>IF(F79&lt;&gt;"",IF(ISERROR(MATCH(F79,Hilfstabellen!$G$2:$G$51,0)),"","X"),"")</f>
        <v/>
      </c>
      <c r="I79" s="17"/>
      <c r="J79" s="40" t="str">
        <f>IF(F79&lt;&gt;"",IF(ISERROR(MATCH(F79,Hilfstabellen!$G$52:$G$54,0)),"","X"),"")</f>
        <v/>
      </c>
      <c r="K79" s="17"/>
      <c r="L79" s="40" t="str">
        <f>IF(F79&lt;&gt;"",IF(ISERROR(MATCH(F79,Hilfstabellen!$G$2:$G$55,0)),"X",""),"")</f>
        <v/>
      </c>
      <c r="M79" s="17"/>
      <c r="N79" s="42"/>
    </row>
    <row r="80" spans="1:14" x14ac:dyDescent="0.3">
      <c r="A80" s="31" t="str">
        <f>IF(OR(B80&lt;&gt;"",C80&lt;&gt;""),MAX($A$40:A79)+1,"")</f>
        <v/>
      </c>
      <c r="B80" s="16"/>
      <c r="C80" s="16"/>
      <c r="D80" s="17"/>
      <c r="E80" s="20"/>
      <c r="F80" s="50"/>
      <c r="G80" s="49">
        <f>VLOOKUP(F80,tbl_PLZ[],2,0)</f>
        <v>0</v>
      </c>
      <c r="H80" s="40" t="str">
        <f>IF(F80&lt;&gt;"",IF(ISERROR(MATCH(F80,Hilfstabellen!$G$2:$G$51,0)),"","X"),"")</f>
        <v/>
      </c>
      <c r="I80" s="17"/>
      <c r="J80" s="40" t="str">
        <f>IF(F80&lt;&gt;"",IF(ISERROR(MATCH(F80,Hilfstabellen!$G$52:$G$54,0)),"","X"),"")</f>
        <v/>
      </c>
      <c r="K80" s="17"/>
      <c r="L80" s="40" t="str">
        <f>IF(F80&lt;&gt;"",IF(ISERROR(MATCH(F80,Hilfstabellen!$G$2:$G$55,0)),"X",""),"")</f>
        <v/>
      </c>
      <c r="M80" s="17"/>
      <c r="N80" s="42"/>
    </row>
    <row r="81" spans="1:14" x14ac:dyDescent="0.3">
      <c r="A81" s="31" t="str">
        <f>IF(OR(B81&lt;&gt;"",C81&lt;&gt;""),MAX($A$40:A80)+1,"")</f>
        <v/>
      </c>
      <c r="B81" s="16"/>
      <c r="C81" s="16"/>
      <c r="D81" s="17"/>
      <c r="E81" s="20"/>
      <c r="F81" s="50"/>
      <c r="G81" s="49">
        <f>VLOOKUP(F81,tbl_PLZ[],2,0)</f>
        <v>0</v>
      </c>
      <c r="H81" s="40" t="str">
        <f>IF(F81&lt;&gt;"",IF(ISERROR(MATCH(F81,Hilfstabellen!$G$2:$G$51,0)),"","X"),"")</f>
        <v/>
      </c>
      <c r="I81" s="17"/>
      <c r="J81" s="40" t="str">
        <f>IF(F81&lt;&gt;"",IF(ISERROR(MATCH(F81,Hilfstabellen!$G$52:$G$54,0)),"","X"),"")</f>
        <v/>
      </c>
      <c r="K81" s="17"/>
      <c r="L81" s="40" t="str">
        <f>IF(F81&lt;&gt;"",IF(ISERROR(MATCH(F81,Hilfstabellen!$G$2:$G$55,0)),"X",""),"")</f>
        <v/>
      </c>
      <c r="M81" s="17"/>
      <c r="N81" s="42"/>
    </row>
    <row r="82" spans="1:14" x14ac:dyDescent="0.3">
      <c r="A82" s="31" t="str">
        <f>IF(OR(B82&lt;&gt;"",C82&lt;&gt;""),MAX($A$40:A81)+1,"")</f>
        <v/>
      </c>
      <c r="B82" s="16"/>
      <c r="C82" s="16"/>
      <c r="D82" s="17"/>
      <c r="E82" s="20"/>
      <c r="F82" s="50"/>
      <c r="G82" s="49">
        <f>VLOOKUP(F82,tbl_PLZ[],2,0)</f>
        <v>0</v>
      </c>
      <c r="H82" s="40" t="str">
        <f>IF(F82&lt;&gt;"",IF(ISERROR(MATCH(F82,Hilfstabellen!$G$2:$G$51,0)),"","X"),"")</f>
        <v/>
      </c>
      <c r="I82" s="17"/>
      <c r="J82" s="40" t="str">
        <f>IF(F82&lt;&gt;"",IF(ISERROR(MATCH(F82,Hilfstabellen!$G$52:$G$54,0)),"","X"),"")</f>
        <v/>
      </c>
      <c r="K82" s="17"/>
      <c r="L82" s="40" t="str">
        <f>IF(F82&lt;&gt;"",IF(ISERROR(MATCH(F82,Hilfstabellen!$G$2:$G$55,0)),"X",""),"")</f>
        <v/>
      </c>
      <c r="M82" s="17"/>
      <c r="N82" s="42"/>
    </row>
    <row r="83" spans="1:14" x14ac:dyDescent="0.3">
      <c r="A83" s="31" t="str">
        <f>IF(OR(B83&lt;&gt;"",C83&lt;&gt;""),MAX($A$40:A82)+1,"")</f>
        <v/>
      </c>
      <c r="B83" s="16"/>
      <c r="C83" s="16"/>
      <c r="D83" s="17"/>
      <c r="E83" s="20"/>
      <c r="F83" s="50"/>
      <c r="G83" s="49">
        <f>VLOOKUP(F83,tbl_PLZ[],2,0)</f>
        <v>0</v>
      </c>
      <c r="H83" s="40" t="str">
        <f>IF(F83&lt;&gt;"",IF(ISERROR(MATCH(F83,Hilfstabellen!$G$2:$G$51,0)),"","X"),"")</f>
        <v/>
      </c>
      <c r="I83" s="17"/>
      <c r="J83" s="40" t="str">
        <f>IF(F83&lt;&gt;"",IF(ISERROR(MATCH(F83,Hilfstabellen!$G$52:$G$54,0)),"","X"),"")</f>
        <v/>
      </c>
      <c r="K83" s="17"/>
      <c r="L83" s="40" t="str">
        <f>IF(F83&lt;&gt;"",IF(ISERROR(MATCH(F83,Hilfstabellen!$G$2:$G$55,0)),"X",""),"")</f>
        <v/>
      </c>
      <c r="M83" s="17"/>
      <c r="N83" s="42"/>
    </row>
    <row r="84" spans="1:14" x14ac:dyDescent="0.3">
      <c r="A84" s="31" t="str">
        <f>IF(OR(B84&lt;&gt;"",C84&lt;&gt;""),MAX($A$40:A83)+1,"")</f>
        <v/>
      </c>
      <c r="B84" s="16"/>
      <c r="C84" s="16"/>
      <c r="D84" s="17"/>
      <c r="E84" s="20"/>
      <c r="F84" s="50"/>
      <c r="G84" s="49">
        <f>VLOOKUP(F84,tbl_PLZ[],2,0)</f>
        <v>0</v>
      </c>
      <c r="H84" s="40" t="str">
        <f>IF(F84&lt;&gt;"",IF(ISERROR(MATCH(F84,Hilfstabellen!$G$2:$G$51,0)),"","X"),"")</f>
        <v/>
      </c>
      <c r="I84" s="17"/>
      <c r="J84" s="40" t="str">
        <f>IF(F84&lt;&gt;"",IF(ISERROR(MATCH(F84,Hilfstabellen!$G$52:$G$54,0)),"","X"),"")</f>
        <v/>
      </c>
      <c r="K84" s="17"/>
      <c r="L84" s="40" t="str">
        <f>IF(F84&lt;&gt;"",IF(ISERROR(MATCH(F84,Hilfstabellen!$G$2:$G$55,0)),"X",""),"")</f>
        <v/>
      </c>
      <c r="M84" s="17"/>
      <c r="N84" s="42"/>
    </row>
    <row r="85" spans="1:14" x14ac:dyDescent="0.3">
      <c r="A85" s="31" t="str">
        <f>IF(OR(B85&lt;&gt;"",C85&lt;&gt;""),MAX($A$40:A84)+1,"")</f>
        <v/>
      </c>
      <c r="B85" s="16"/>
      <c r="C85" s="16"/>
      <c r="D85" s="17"/>
      <c r="E85" s="20"/>
      <c r="F85" s="50"/>
      <c r="G85" s="49">
        <f>VLOOKUP(F85,tbl_PLZ[],2,0)</f>
        <v>0</v>
      </c>
      <c r="H85" s="40" t="str">
        <f>IF(F85&lt;&gt;"",IF(ISERROR(MATCH(F85,Hilfstabellen!$G$2:$G$51,0)),"","X"),"")</f>
        <v/>
      </c>
      <c r="I85" s="17"/>
      <c r="J85" s="40" t="str">
        <f>IF(F85&lt;&gt;"",IF(ISERROR(MATCH(F85,Hilfstabellen!$G$52:$G$54,0)),"","X"),"")</f>
        <v/>
      </c>
      <c r="K85" s="17"/>
      <c r="L85" s="40" t="str">
        <f>IF(F85&lt;&gt;"",IF(ISERROR(MATCH(F85,Hilfstabellen!$G$2:$G$55,0)),"X",""),"")</f>
        <v/>
      </c>
      <c r="M85" s="17"/>
      <c r="N85" s="42"/>
    </row>
    <row r="86" spans="1:14" x14ac:dyDescent="0.3">
      <c r="A86" s="31" t="str">
        <f>IF(OR(B86&lt;&gt;"",C86&lt;&gt;""),MAX($A$40:A85)+1,"")</f>
        <v/>
      </c>
      <c r="B86" s="16"/>
      <c r="C86" s="16"/>
      <c r="D86" s="17"/>
      <c r="E86" s="20"/>
      <c r="F86" s="50"/>
      <c r="G86" s="49">
        <f>VLOOKUP(F86,tbl_PLZ[],2,0)</f>
        <v>0</v>
      </c>
      <c r="H86" s="40" t="str">
        <f>IF(F86&lt;&gt;"",IF(ISERROR(MATCH(F86,Hilfstabellen!$G$2:$G$51,0)),"","X"),"")</f>
        <v/>
      </c>
      <c r="I86" s="17"/>
      <c r="J86" s="40" t="str">
        <f>IF(F86&lt;&gt;"",IF(ISERROR(MATCH(F86,Hilfstabellen!$G$52:$G$54,0)),"","X"),"")</f>
        <v/>
      </c>
      <c r="K86" s="17"/>
      <c r="L86" s="40" t="str">
        <f>IF(F86&lt;&gt;"",IF(ISERROR(MATCH(F86,Hilfstabellen!$G$2:$G$55,0)),"X",""),"")</f>
        <v/>
      </c>
      <c r="M86" s="17"/>
      <c r="N86" s="42"/>
    </row>
    <row r="87" spans="1:14" x14ac:dyDescent="0.3">
      <c r="A87" s="31" t="str">
        <f>IF(OR(B87&lt;&gt;"",C87&lt;&gt;""),MAX($A$40:A86)+1,"")</f>
        <v/>
      </c>
      <c r="B87" s="16"/>
      <c r="C87" s="16"/>
      <c r="D87" s="17"/>
      <c r="E87" s="20"/>
      <c r="F87" s="50"/>
      <c r="G87" s="49">
        <f>VLOOKUP(F87,tbl_PLZ[],2,0)</f>
        <v>0</v>
      </c>
      <c r="H87" s="40" t="str">
        <f>IF(F87&lt;&gt;"",IF(ISERROR(MATCH(F87,Hilfstabellen!$G$2:$G$51,0)),"","X"),"")</f>
        <v/>
      </c>
      <c r="I87" s="17"/>
      <c r="J87" s="40" t="str">
        <f>IF(F87&lt;&gt;"",IF(ISERROR(MATCH(F87,Hilfstabellen!$G$52:$G$54,0)),"","X"),"")</f>
        <v/>
      </c>
      <c r="K87" s="17"/>
      <c r="L87" s="40" t="str">
        <f>IF(F87&lt;&gt;"",IF(ISERROR(MATCH(F87,Hilfstabellen!$G$2:$G$55,0)),"X",""),"")</f>
        <v/>
      </c>
      <c r="M87" s="17"/>
      <c r="N87" s="42"/>
    </row>
    <row r="88" spans="1:14" x14ac:dyDescent="0.3">
      <c r="A88" s="31" t="str">
        <f>IF(OR(B88&lt;&gt;"",C88&lt;&gt;""),MAX($A$40:A87)+1,"")</f>
        <v/>
      </c>
      <c r="B88" s="16"/>
      <c r="C88" s="16"/>
      <c r="D88" s="17"/>
      <c r="E88" s="20"/>
      <c r="F88" s="50"/>
      <c r="G88" s="49">
        <f>VLOOKUP(F88,tbl_PLZ[],2,0)</f>
        <v>0</v>
      </c>
      <c r="H88" s="40" t="str">
        <f>IF(F88&lt;&gt;"",IF(ISERROR(MATCH(F88,Hilfstabellen!$G$2:$G$51,0)),"","X"),"")</f>
        <v/>
      </c>
      <c r="I88" s="17"/>
      <c r="J88" s="40" t="str">
        <f>IF(F88&lt;&gt;"",IF(ISERROR(MATCH(F88,Hilfstabellen!$G$52:$G$54,0)),"","X"),"")</f>
        <v/>
      </c>
      <c r="K88" s="17"/>
      <c r="L88" s="40" t="str">
        <f>IF(F88&lt;&gt;"",IF(ISERROR(MATCH(F88,Hilfstabellen!$G$2:$G$55,0)),"X",""),"")</f>
        <v/>
      </c>
      <c r="M88" s="17"/>
      <c r="N88" s="42"/>
    </row>
    <row r="89" spans="1:14" x14ac:dyDescent="0.3">
      <c r="A89" s="31" t="str">
        <f>IF(OR(B89&lt;&gt;"",C89&lt;&gt;""),MAX($A$40:A88)+1,"")</f>
        <v/>
      </c>
      <c r="B89" s="16"/>
      <c r="C89" s="16"/>
      <c r="D89" s="17"/>
      <c r="E89" s="20"/>
      <c r="F89" s="50"/>
      <c r="G89" s="49">
        <f>VLOOKUP(F89,tbl_PLZ[],2,0)</f>
        <v>0</v>
      </c>
      <c r="H89" s="40" t="str">
        <f>IF(F89&lt;&gt;"",IF(ISERROR(MATCH(F89,Hilfstabellen!$G$2:$G$51,0)),"","X"),"")</f>
        <v/>
      </c>
      <c r="I89" s="17"/>
      <c r="J89" s="40" t="str">
        <f>IF(F89&lt;&gt;"",IF(ISERROR(MATCH(F89,Hilfstabellen!$G$52:$G$54,0)),"","X"),"")</f>
        <v/>
      </c>
      <c r="K89" s="17"/>
      <c r="L89" s="40" t="str">
        <f>IF(F89&lt;&gt;"",IF(ISERROR(MATCH(F89,Hilfstabellen!$G$2:$G$55,0)),"X",""),"")</f>
        <v/>
      </c>
      <c r="M89" s="17"/>
      <c r="N89" s="42"/>
    </row>
    <row r="90" spans="1:14" x14ac:dyDescent="0.3">
      <c r="A90" s="31" t="str">
        <f>IF(OR(B90&lt;&gt;"",C90&lt;&gt;""),MAX($A$40:A89)+1,"")</f>
        <v/>
      </c>
      <c r="B90" s="16"/>
      <c r="C90" s="16"/>
      <c r="D90" s="17"/>
      <c r="E90" s="20"/>
      <c r="F90" s="50"/>
      <c r="G90" s="49">
        <f>VLOOKUP(F90,tbl_PLZ[],2,0)</f>
        <v>0</v>
      </c>
      <c r="H90" s="40" t="str">
        <f>IF(F90&lt;&gt;"",IF(ISERROR(MATCH(F90,Hilfstabellen!$G$2:$G$51,0)),"","X"),"")</f>
        <v/>
      </c>
      <c r="I90" s="17"/>
      <c r="J90" s="40" t="str">
        <f>IF(F90&lt;&gt;"",IF(ISERROR(MATCH(F90,Hilfstabellen!$G$52:$G$54,0)),"","X"),"")</f>
        <v/>
      </c>
      <c r="K90" s="17"/>
      <c r="L90" s="40" t="str">
        <f>IF(F90&lt;&gt;"",IF(ISERROR(MATCH(F90,Hilfstabellen!$G$2:$G$55,0)),"X",""),"")</f>
        <v/>
      </c>
      <c r="M90" s="17"/>
      <c r="N90" s="42"/>
    </row>
    <row r="91" spans="1:14" x14ac:dyDescent="0.3">
      <c r="A91" s="31" t="str">
        <f>IF(OR(B91&lt;&gt;"",C91&lt;&gt;""),MAX($A$40:A90)+1,"")</f>
        <v/>
      </c>
      <c r="B91" s="16"/>
      <c r="C91" s="16"/>
      <c r="D91" s="17"/>
      <c r="E91" s="20"/>
      <c r="F91" s="50"/>
      <c r="G91" s="49">
        <f>VLOOKUP(F91,tbl_PLZ[],2,0)</f>
        <v>0</v>
      </c>
      <c r="H91" s="40" t="str">
        <f>IF(F91&lt;&gt;"",IF(ISERROR(MATCH(F91,Hilfstabellen!$G$2:$G$51,0)),"","X"),"")</f>
        <v/>
      </c>
      <c r="I91" s="17"/>
      <c r="J91" s="40" t="str">
        <f>IF(F91&lt;&gt;"",IF(ISERROR(MATCH(F91,Hilfstabellen!$G$52:$G$54,0)),"","X"),"")</f>
        <v/>
      </c>
      <c r="K91" s="17"/>
      <c r="L91" s="40" t="str">
        <f>IF(F91&lt;&gt;"",IF(ISERROR(MATCH(F91,Hilfstabellen!$G$2:$G$55,0)),"X",""),"")</f>
        <v/>
      </c>
      <c r="M91" s="17"/>
      <c r="N91" s="42"/>
    </row>
    <row r="92" spans="1:14" x14ac:dyDescent="0.3">
      <c r="A92" s="31" t="str">
        <f>IF(OR(B92&lt;&gt;"",C92&lt;&gt;""),MAX($A$40:A91)+1,"")</f>
        <v/>
      </c>
      <c r="B92" s="16"/>
      <c r="C92" s="16"/>
      <c r="D92" s="17"/>
      <c r="E92" s="20"/>
      <c r="F92" s="50"/>
      <c r="G92" s="49">
        <f>VLOOKUP(F92,tbl_PLZ[],2,0)</f>
        <v>0</v>
      </c>
      <c r="H92" s="40" t="str">
        <f>IF(F92&lt;&gt;"",IF(ISERROR(MATCH(F92,Hilfstabellen!$G$2:$G$51,0)),"","X"),"")</f>
        <v/>
      </c>
      <c r="I92" s="17"/>
      <c r="J92" s="40" t="str">
        <f>IF(F92&lt;&gt;"",IF(ISERROR(MATCH(F92,Hilfstabellen!$G$52:$G$54,0)),"","X"),"")</f>
        <v/>
      </c>
      <c r="K92" s="17"/>
      <c r="L92" s="40" t="str">
        <f>IF(F92&lt;&gt;"",IF(ISERROR(MATCH(F92,Hilfstabellen!$G$2:$G$55,0)),"X",""),"")</f>
        <v/>
      </c>
      <c r="M92" s="17"/>
      <c r="N92" s="42"/>
    </row>
    <row r="93" spans="1:14" x14ac:dyDescent="0.3">
      <c r="A93" s="31" t="str">
        <f>IF(OR(B93&lt;&gt;"",C93&lt;&gt;""),MAX($A$40:A92)+1,"")</f>
        <v/>
      </c>
      <c r="B93" s="16"/>
      <c r="C93" s="16"/>
      <c r="D93" s="17"/>
      <c r="E93" s="20"/>
      <c r="F93" s="50"/>
      <c r="G93" s="49">
        <f>VLOOKUP(F93,tbl_PLZ[],2,0)</f>
        <v>0</v>
      </c>
      <c r="H93" s="40" t="str">
        <f>IF(F93&lt;&gt;"",IF(ISERROR(MATCH(F93,Hilfstabellen!$G$2:$G$51,0)),"","X"),"")</f>
        <v/>
      </c>
      <c r="I93" s="17"/>
      <c r="J93" s="40" t="str">
        <f>IF(F93&lt;&gt;"",IF(ISERROR(MATCH(F93,Hilfstabellen!$G$52:$G$54,0)),"","X"),"")</f>
        <v/>
      </c>
      <c r="K93" s="17"/>
      <c r="L93" s="40" t="str">
        <f>IF(F93&lt;&gt;"",IF(ISERROR(MATCH(F93,Hilfstabellen!$G$2:$G$55,0)),"X",""),"")</f>
        <v/>
      </c>
      <c r="M93" s="17"/>
      <c r="N93" s="42"/>
    </row>
    <row r="94" spans="1:14" x14ac:dyDescent="0.3">
      <c r="A94" s="31" t="str">
        <f>IF(OR(B94&lt;&gt;"",C94&lt;&gt;""),MAX($A$40:A93)+1,"")</f>
        <v/>
      </c>
      <c r="B94" s="16"/>
      <c r="C94" s="16"/>
      <c r="D94" s="17"/>
      <c r="E94" s="20"/>
      <c r="F94" s="50"/>
      <c r="G94" s="49">
        <f>VLOOKUP(F94,tbl_PLZ[],2,0)</f>
        <v>0</v>
      </c>
      <c r="H94" s="40" t="str">
        <f>IF(F94&lt;&gt;"",IF(ISERROR(MATCH(F94,Hilfstabellen!$G$2:$G$51,0)),"","X"),"")</f>
        <v/>
      </c>
      <c r="I94" s="17"/>
      <c r="J94" s="40" t="str">
        <f>IF(F94&lt;&gt;"",IF(ISERROR(MATCH(F94,Hilfstabellen!$G$52:$G$54,0)),"","X"),"")</f>
        <v/>
      </c>
      <c r="K94" s="17"/>
      <c r="L94" s="40" t="str">
        <f>IF(F94&lt;&gt;"",IF(ISERROR(MATCH(F94,Hilfstabellen!$G$2:$G$55,0)),"X",""),"")</f>
        <v/>
      </c>
      <c r="M94" s="17"/>
      <c r="N94" s="42"/>
    </row>
    <row r="95" spans="1:14" x14ac:dyDescent="0.3">
      <c r="A95" s="31" t="str">
        <f>IF(OR(B95&lt;&gt;"",C95&lt;&gt;""),MAX($A$40:A94)+1,"")</f>
        <v/>
      </c>
      <c r="B95" s="16"/>
      <c r="C95" s="16"/>
      <c r="D95" s="17"/>
      <c r="E95" s="20"/>
      <c r="F95" s="50"/>
      <c r="G95" s="49">
        <f>VLOOKUP(F95,tbl_PLZ[],2,0)</f>
        <v>0</v>
      </c>
      <c r="H95" s="40" t="str">
        <f>IF(F95&lt;&gt;"",IF(ISERROR(MATCH(F95,Hilfstabellen!$G$2:$G$51,0)),"","X"),"")</f>
        <v/>
      </c>
      <c r="I95" s="17"/>
      <c r="J95" s="40" t="str">
        <f>IF(F95&lt;&gt;"",IF(ISERROR(MATCH(F95,Hilfstabellen!$G$52:$G$54,0)),"","X"),"")</f>
        <v/>
      </c>
      <c r="K95" s="17"/>
      <c r="L95" s="40" t="str">
        <f>IF(F95&lt;&gt;"",IF(ISERROR(MATCH(F95,Hilfstabellen!$G$2:$G$55,0)),"X",""),"")</f>
        <v/>
      </c>
      <c r="M95" s="17"/>
      <c r="N95" s="42"/>
    </row>
    <row r="96" spans="1:14" x14ac:dyDescent="0.3">
      <c r="A96" s="31" t="str">
        <f>IF(OR(B96&lt;&gt;"",C96&lt;&gt;""),MAX($A$40:A95)+1,"")</f>
        <v/>
      </c>
      <c r="B96" s="16"/>
      <c r="C96" s="16"/>
      <c r="D96" s="17"/>
      <c r="E96" s="20"/>
      <c r="F96" s="50"/>
      <c r="G96" s="49">
        <f>VLOOKUP(F96,tbl_PLZ[],2,0)</f>
        <v>0</v>
      </c>
      <c r="H96" s="40" t="str">
        <f>IF(F96&lt;&gt;"",IF(ISERROR(MATCH(F96,Hilfstabellen!$G$2:$G$51,0)),"","X"),"")</f>
        <v/>
      </c>
      <c r="I96" s="17"/>
      <c r="J96" s="40" t="str">
        <f>IF(F96&lt;&gt;"",IF(ISERROR(MATCH(F96,Hilfstabellen!$G$52:$G$54,0)),"","X"),"")</f>
        <v/>
      </c>
      <c r="K96" s="17"/>
      <c r="L96" s="40" t="str">
        <f>IF(F96&lt;&gt;"",IF(ISERROR(MATCH(F96,Hilfstabellen!$G$2:$G$55,0)),"X",""),"")</f>
        <v/>
      </c>
      <c r="M96" s="17"/>
      <c r="N96" s="42"/>
    </row>
    <row r="97" spans="1:14" x14ac:dyDescent="0.3">
      <c r="A97" s="31" t="str">
        <f>IF(OR(B97&lt;&gt;"",C97&lt;&gt;""),MAX($A$40:A96)+1,"")</f>
        <v/>
      </c>
      <c r="B97" s="16"/>
      <c r="C97" s="16"/>
      <c r="D97" s="17"/>
      <c r="E97" s="20"/>
      <c r="F97" s="50"/>
      <c r="G97" s="49">
        <f>VLOOKUP(F97,tbl_PLZ[],2,0)</f>
        <v>0</v>
      </c>
      <c r="H97" s="40" t="str">
        <f>IF(F97&lt;&gt;"",IF(ISERROR(MATCH(F97,Hilfstabellen!$G$2:$G$51,0)),"","X"),"")</f>
        <v/>
      </c>
      <c r="I97" s="17"/>
      <c r="J97" s="40" t="str">
        <f>IF(F97&lt;&gt;"",IF(ISERROR(MATCH(F97,Hilfstabellen!$G$52:$G$54,0)),"","X"),"")</f>
        <v/>
      </c>
      <c r="K97" s="17"/>
      <c r="L97" s="40" t="str">
        <f>IF(F97&lt;&gt;"",IF(ISERROR(MATCH(F97,Hilfstabellen!$G$2:$G$55,0)),"X",""),"")</f>
        <v/>
      </c>
      <c r="M97" s="17"/>
      <c r="N97" s="42"/>
    </row>
    <row r="98" spans="1:14" x14ac:dyDescent="0.3">
      <c r="A98" s="31" t="str">
        <f>IF(OR(B98&lt;&gt;"",C98&lt;&gt;""),MAX($A$40:A97)+1,"")</f>
        <v/>
      </c>
      <c r="B98" s="16"/>
      <c r="C98" s="16"/>
      <c r="D98" s="17"/>
      <c r="E98" s="20"/>
      <c r="F98" s="50"/>
      <c r="G98" s="49">
        <f>VLOOKUP(F98,tbl_PLZ[],2,0)</f>
        <v>0</v>
      </c>
      <c r="H98" s="40" t="str">
        <f>IF(F98&lt;&gt;"",IF(ISERROR(MATCH(F98,Hilfstabellen!$G$2:$G$51,0)),"","X"),"")</f>
        <v/>
      </c>
      <c r="I98" s="17"/>
      <c r="J98" s="40" t="str">
        <f>IF(F98&lt;&gt;"",IF(ISERROR(MATCH(F98,Hilfstabellen!$G$52:$G$54,0)),"","X"),"")</f>
        <v/>
      </c>
      <c r="K98" s="17"/>
      <c r="L98" s="40" t="str">
        <f>IF(F98&lt;&gt;"",IF(ISERROR(MATCH(F98,Hilfstabellen!$G$2:$G$55,0)),"X",""),"")</f>
        <v/>
      </c>
      <c r="M98" s="17"/>
      <c r="N98" s="42"/>
    </row>
    <row r="99" spans="1:14" x14ac:dyDescent="0.3">
      <c r="A99" s="31" t="str">
        <f>IF(OR(B99&lt;&gt;"",C99&lt;&gt;""),MAX($A$40:A98)+1,"")</f>
        <v/>
      </c>
      <c r="B99" s="16"/>
      <c r="C99" s="16"/>
      <c r="D99" s="17"/>
      <c r="E99" s="20"/>
      <c r="F99" s="50"/>
      <c r="G99" s="49">
        <f>VLOOKUP(F99,tbl_PLZ[],2,0)</f>
        <v>0</v>
      </c>
      <c r="H99" s="40" t="str">
        <f>IF(F99&lt;&gt;"",IF(ISERROR(MATCH(F99,Hilfstabellen!$G$2:$G$51,0)),"","X"),"")</f>
        <v/>
      </c>
      <c r="I99" s="17"/>
      <c r="J99" s="40" t="str">
        <f>IF(F99&lt;&gt;"",IF(ISERROR(MATCH(F99,Hilfstabellen!$G$52:$G$54,0)),"","X"),"")</f>
        <v/>
      </c>
      <c r="K99" s="17"/>
      <c r="L99" s="40" t="str">
        <f>IF(F99&lt;&gt;"",IF(ISERROR(MATCH(F99,Hilfstabellen!$G$2:$G$55,0)),"X",""),"")</f>
        <v/>
      </c>
      <c r="M99" s="17"/>
      <c r="N99" s="42"/>
    </row>
    <row r="100" spans="1:14" x14ac:dyDescent="0.3">
      <c r="A100" s="31" t="str">
        <f>IF(OR(B100&lt;&gt;"",C100&lt;&gt;""),MAX($A$40:A99)+1,"")</f>
        <v/>
      </c>
      <c r="B100" s="16"/>
      <c r="C100" s="16"/>
      <c r="D100" s="17"/>
      <c r="E100" s="20"/>
      <c r="F100" s="50"/>
      <c r="G100" s="49">
        <f>VLOOKUP(F100,tbl_PLZ[],2,0)</f>
        <v>0</v>
      </c>
      <c r="H100" s="40" t="str">
        <f>IF(F100&lt;&gt;"",IF(ISERROR(MATCH(F100,Hilfstabellen!$G$2:$G$51,0)),"","X"),"")</f>
        <v/>
      </c>
      <c r="I100" s="17"/>
      <c r="J100" s="40" t="str">
        <f>IF(F100&lt;&gt;"",IF(ISERROR(MATCH(F100,Hilfstabellen!$G$52:$G$54,0)),"","X"),"")</f>
        <v/>
      </c>
      <c r="K100" s="17"/>
      <c r="L100" s="40" t="str">
        <f>IF(F100&lt;&gt;"",IF(ISERROR(MATCH(F100,Hilfstabellen!$G$2:$G$55,0)),"X",""),"")</f>
        <v/>
      </c>
      <c r="M100" s="17"/>
      <c r="N100" s="42"/>
    </row>
    <row r="101" spans="1:14" x14ac:dyDescent="0.3">
      <c r="A101" s="31" t="str">
        <f>IF(OR(B101&lt;&gt;"",C101&lt;&gt;""),MAX($A$40:A100)+1,"")</f>
        <v/>
      </c>
      <c r="B101" s="16"/>
      <c r="C101" s="16"/>
      <c r="D101" s="17"/>
      <c r="E101" s="20"/>
      <c r="F101" s="50"/>
      <c r="G101" s="49">
        <f>VLOOKUP(F101,tbl_PLZ[],2,0)</f>
        <v>0</v>
      </c>
      <c r="H101" s="40" t="str">
        <f>IF(F101&lt;&gt;"",IF(ISERROR(MATCH(F101,Hilfstabellen!$G$2:$G$51,0)),"","X"),"")</f>
        <v/>
      </c>
      <c r="I101" s="17"/>
      <c r="J101" s="40" t="str">
        <f>IF(F101&lt;&gt;"",IF(ISERROR(MATCH(F101,Hilfstabellen!$G$52:$G$54,0)),"","X"),"")</f>
        <v/>
      </c>
      <c r="K101" s="17"/>
      <c r="L101" s="40" t="str">
        <f>IF(F101&lt;&gt;"",IF(ISERROR(MATCH(F101,Hilfstabellen!$G$2:$G$55,0)),"X",""),"")</f>
        <v/>
      </c>
      <c r="M101" s="17"/>
      <c r="N101" s="42"/>
    </row>
    <row r="102" spans="1:14" x14ac:dyDescent="0.3">
      <c r="A102" s="31" t="str">
        <f>IF(OR(B102&lt;&gt;"",C102&lt;&gt;""),MAX($A$40:A101)+1,"")</f>
        <v/>
      </c>
      <c r="B102" s="16"/>
      <c r="C102" s="16"/>
      <c r="D102" s="17"/>
      <c r="E102" s="20"/>
      <c r="F102" s="50"/>
      <c r="G102" s="49">
        <f>VLOOKUP(F102,tbl_PLZ[],2,0)</f>
        <v>0</v>
      </c>
      <c r="H102" s="40" t="str">
        <f>IF(F102&lt;&gt;"",IF(ISERROR(MATCH(F102,Hilfstabellen!$G$2:$G$51,0)),"","X"),"")</f>
        <v/>
      </c>
      <c r="I102" s="17"/>
      <c r="J102" s="40" t="str">
        <f>IF(F102&lt;&gt;"",IF(ISERROR(MATCH(F102,Hilfstabellen!$G$52:$G$54,0)),"","X"),"")</f>
        <v/>
      </c>
      <c r="K102" s="17"/>
      <c r="L102" s="40" t="str">
        <f>IF(F102&lt;&gt;"",IF(ISERROR(MATCH(F102,Hilfstabellen!$G$2:$G$55,0)),"X",""),"")</f>
        <v/>
      </c>
      <c r="M102" s="17"/>
      <c r="N102" s="42"/>
    </row>
    <row r="103" spans="1:14" x14ac:dyDescent="0.3">
      <c r="A103" s="31" t="str">
        <f>IF(OR(B103&lt;&gt;"",C103&lt;&gt;""),MAX($A$40:A102)+1,"")</f>
        <v/>
      </c>
      <c r="B103" s="16"/>
      <c r="C103" s="16"/>
      <c r="D103" s="17"/>
      <c r="E103" s="20"/>
      <c r="F103" s="50"/>
      <c r="G103" s="49">
        <f>VLOOKUP(F103,tbl_PLZ[],2,0)</f>
        <v>0</v>
      </c>
      <c r="H103" s="40" t="str">
        <f>IF(F103&lt;&gt;"",IF(ISERROR(MATCH(F103,Hilfstabellen!$G$2:$G$51,0)),"","X"),"")</f>
        <v/>
      </c>
      <c r="I103" s="17"/>
      <c r="J103" s="40" t="str">
        <f>IF(F103&lt;&gt;"",IF(ISERROR(MATCH(F103,Hilfstabellen!$G$52:$G$54,0)),"","X"),"")</f>
        <v/>
      </c>
      <c r="K103" s="17"/>
      <c r="L103" s="40" t="str">
        <f>IF(F103&lt;&gt;"",IF(ISERROR(MATCH(F103,Hilfstabellen!$G$2:$G$55,0)),"X",""),"")</f>
        <v/>
      </c>
      <c r="M103" s="17"/>
      <c r="N103" s="42"/>
    </row>
    <row r="104" spans="1:14" x14ac:dyDescent="0.3">
      <c r="A104" s="31" t="str">
        <f>IF(OR(B104&lt;&gt;"",C104&lt;&gt;""),MAX($A$40:A103)+1,"")</f>
        <v/>
      </c>
      <c r="B104" s="16"/>
      <c r="C104" s="16"/>
      <c r="D104" s="17"/>
      <c r="E104" s="20"/>
      <c r="F104" s="50"/>
      <c r="G104" s="49">
        <f>VLOOKUP(F104,tbl_PLZ[],2,0)</f>
        <v>0</v>
      </c>
      <c r="H104" s="40" t="str">
        <f>IF(F104&lt;&gt;"",IF(ISERROR(MATCH(F104,Hilfstabellen!$G$2:$G$51,0)),"","X"),"")</f>
        <v/>
      </c>
      <c r="I104" s="17"/>
      <c r="J104" s="40" t="str">
        <f>IF(F104&lt;&gt;"",IF(ISERROR(MATCH(F104,Hilfstabellen!$G$52:$G$54,0)),"","X"),"")</f>
        <v/>
      </c>
      <c r="K104" s="17"/>
      <c r="L104" s="40" t="str">
        <f>IF(F104&lt;&gt;"",IF(ISERROR(MATCH(F104,Hilfstabellen!$G$2:$G$55,0)),"X",""),"")</f>
        <v/>
      </c>
      <c r="M104" s="17"/>
      <c r="N104" s="42"/>
    </row>
    <row r="105" spans="1:14" x14ac:dyDescent="0.3">
      <c r="A105" s="31" t="str">
        <f>IF(OR(B105&lt;&gt;"",C105&lt;&gt;""),MAX($A$40:A104)+1,"")</f>
        <v/>
      </c>
      <c r="B105" s="16"/>
      <c r="C105" s="16"/>
      <c r="D105" s="17"/>
      <c r="E105" s="20"/>
      <c r="F105" s="50"/>
      <c r="G105" s="49">
        <f>VLOOKUP(F105,tbl_PLZ[],2,0)</f>
        <v>0</v>
      </c>
      <c r="H105" s="40" t="str">
        <f>IF(F105&lt;&gt;"",IF(ISERROR(MATCH(F105,Hilfstabellen!$G$2:$G$51,0)),"","X"),"")</f>
        <v/>
      </c>
      <c r="I105" s="17"/>
      <c r="J105" s="40" t="str">
        <f>IF(F105&lt;&gt;"",IF(ISERROR(MATCH(F105,Hilfstabellen!$G$52:$G$54,0)),"","X"),"")</f>
        <v/>
      </c>
      <c r="K105" s="17"/>
      <c r="L105" s="40" t="str">
        <f>IF(F105&lt;&gt;"",IF(ISERROR(MATCH(F105,Hilfstabellen!$G$2:$G$55,0)),"X",""),"")</f>
        <v/>
      </c>
      <c r="M105" s="17"/>
      <c r="N105" s="42"/>
    </row>
    <row r="106" spans="1:14" x14ac:dyDescent="0.3">
      <c r="A106" s="31" t="str">
        <f>IF(OR(B106&lt;&gt;"",C106&lt;&gt;""),MAX($A$40:A105)+1,"")</f>
        <v/>
      </c>
      <c r="B106" s="16"/>
      <c r="C106" s="16"/>
      <c r="D106" s="17"/>
      <c r="E106" s="20"/>
      <c r="F106" s="50"/>
      <c r="G106" s="49">
        <f>VLOOKUP(F106,tbl_PLZ[],2,0)</f>
        <v>0</v>
      </c>
      <c r="H106" s="40" t="str">
        <f>IF(F106&lt;&gt;"",IF(ISERROR(MATCH(F106,Hilfstabellen!$G$2:$G$51,0)),"","X"),"")</f>
        <v/>
      </c>
      <c r="I106" s="17"/>
      <c r="J106" s="40" t="str">
        <f>IF(F106&lt;&gt;"",IF(ISERROR(MATCH(F106,Hilfstabellen!$G$52:$G$54,0)),"","X"),"")</f>
        <v/>
      </c>
      <c r="K106" s="17"/>
      <c r="L106" s="40" t="str">
        <f>IF(F106&lt;&gt;"",IF(ISERROR(MATCH(F106,Hilfstabellen!$G$2:$G$55,0)),"X",""),"")</f>
        <v/>
      </c>
      <c r="M106" s="17"/>
      <c r="N106" s="42"/>
    </row>
    <row r="107" spans="1:14" x14ac:dyDescent="0.3">
      <c r="A107" s="31" t="str">
        <f>IF(OR(B107&lt;&gt;"",C107&lt;&gt;""),MAX($A$40:A106)+1,"")</f>
        <v/>
      </c>
      <c r="B107" s="16"/>
      <c r="C107" s="16"/>
      <c r="D107" s="17"/>
      <c r="E107" s="20"/>
      <c r="F107" s="50"/>
      <c r="G107" s="49">
        <f>VLOOKUP(F107,tbl_PLZ[],2,0)</f>
        <v>0</v>
      </c>
      <c r="H107" s="40" t="str">
        <f>IF(F107&lt;&gt;"",IF(ISERROR(MATCH(F107,Hilfstabellen!$G$2:$G$51,0)),"","X"),"")</f>
        <v/>
      </c>
      <c r="I107" s="17"/>
      <c r="J107" s="40" t="str">
        <f>IF(F107&lt;&gt;"",IF(ISERROR(MATCH(F107,Hilfstabellen!$G$52:$G$54,0)),"","X"),"")</f>
        <v/>
      </c>
      <c r="K107" s="17"/>
      <c r="L107" s="40" t="str">
        <f>IF(F107&lt;&gt;"",IF(ISERROR(MATCH(F107,Hilfstabellen!$G$2:$G$55,0)),"X",""),"")</f>
        <v/>
      </c>
      <c r="M107" s="17"/>
      <c r="N107" s="42"/>
    </row>
    <row r="108" spans="1:14" x14ac:dyDescent="0.3">
      <c r="A108" s="31" t="str">
        <f>IF(OR(B108&lt;&gt;"",C108&lt;&gt;""),MAX($A$40:A107)+1,"")</f>
        <v/>
      </c>
      <c r="B108" s="16"/>
      <c r="C108" s="16"/>
      <c r="D108" s="17"/>
      <c r="E108" s="20"/>
      <c r="F108" s="50"/>
      <c r="G108" s="49">
        <f>VLOOKUP(F108,tbl_PLZ[],2,0)</f>
        <v>0</v>
      </c>
      <c r="H108" s="40" t="str">
        <f>IF(F108&lt;&gt;"",IF(ISERROR(MATCH(F108,Hilfstabellen!$G$2:$G$51,0)),"","X"),"")</f>
        <v/>
      </c>
      <c r="I108" s="17"/>
      <c r="J108" s="40" t="str">
        <f>IF(F108&lt;&gt;"",IF(ISERROR(MATCH(F108,Hilfstabellen!$G$52:$G$54,0)),"","X"),"")</f>
        <v/>
      </c>
      <c r="K108" s="17"/>
      <c r="L108" s="40" t="str">
        <f>IF(F108&lt;&gt;"",IF(ISERROR(MATCH(F108,Hilfstabellen!$G$2:$G$55,0)),"X",""),"")</f>
        <v/>
      </c>
      <c r="M108" s="17"/>
      <c r="N108" s="42"/>
    </row>
    <row r="109" spans="1:14" x14ac:dyDescent="0.3">
      <c r="A109" s="31" t="str">
        <f>IF(OR(B109&lt;&gt;"",C109&lt;&gt;""),MAX($A$40:A108)+1,"")</f>
        <v/>
      </c>
      <c r="B109" s="16"/>
      <c r="C109" s="16"/>
      <c r="D109" s="17"/>
      <c r="E109" s="20"/>
      <c r="F109" s="50"/>
      <c r="G109" s="49">
        <f>VLOOKUP(F109,tbl_PLZ[],2,0)</f>
        <v>0</v>
      </c>
      <c r="H109" s="40" t="str">
        <f>IF(F109&lt;&gt;"",IF(ISERROR(MATCH(F109,Hilfstabellen!$G$2:$G$51,0)),"","X"),"")</f>
        <v/>
      </c>
      <c r="I109" s="17"/>
      <c r="J109" s="40" t="str">
        <f>IF(F109&lt;&gt;"",IF(ISERROR(MATCH(F109,Hilfstabellen!$G$52:$G$54,0)),"","X"),"")</f>
        <v/>
      </c>
      <c r="K109" s="17"/>
      <c r="L109" s="40" t="str">
        <f>IF(F109&lt;&gt;"",IF(ISERROR(MATCH(F109,Hilfstabellen!$G$2:$G$55,0)),"X",""),"")</f>
        <v/>
      </c>
      <c r="M109" s="17"/>
      <c r="N109" s="42"/>
    </row>
    <row r="110" spans="1:14" x14ac:dyDescent="0.3">
      <c r="A110" s="31" t="str">
        <f>IF(OR(B110&lt;&gt;"",C110&lt;&gt;""),MAX($A$40:A109)+1,"")</f>
        <v/>
      </c>
      <c r="B110" s="16"/>
      <c r="C110" s="16"/>
      <c r="D110" s="17"/>
      <c r="E110" s="20"/>
      <c r="F110" s="50"/>
      <c r="G110" s="49">
        <f>VLOOKUP(F110,tbl_PLZ[],2,0)</f>
        <v>0</v>
      </c>
      <c r="H110" s="40" t="str">
        <f>IF(F110&lt;&gt;"",IF(ISERROR(MATCH(F110,Hilfstabellen!$G$2:$G$51,0)),"","X"),"")</f>
        <v/>
      </c>
      <c r="I110" s="17"/>
      <c r="J110" s="40" t="str">
        <f>IF(F110&lt;&gt;"",IF(ISERROR(MATCH(F110,Hilfstabellen!$G$52:$G$54,0)),"","X"),"")</f>
        <v/>
      </c>
      <c r="K110" s="17"/>
      <c r="L110" s="40" t="str">
        <f>IF(F110&lt;&gt;"",IF(ISERROR(MATCH(F110,Hilfstabellen!$G$2:$G$55,0)),"X",""),"")</f>
        <v/>
      </c>
      <c r="M110" s="17"/>
      <c r="N110" s="42"/>
    </row>
    <row r="111" spans="1:14" x14ac:dyDescent="0.3">
      <c r="A111" s="31" t="str">
        <f>IF(OR(B111&lt;&gt;"",C111&lt;&gt;""),MAX($A$40:A110)+1,"")</f>
        <v/>
      </c>
      <c r="B111" s="16"/>
      <c r="C111" s="16"/>
      <c r="D111" s="17"/>
      <c r="E111" s="20"/>
      <c r="F111" s="50"/>
      <c r="G111" s="49">
        <f>VLOOKUP(F111,tbl_PLZ[],2,0)</f>
        <v>0</v>
      </c>
      <c r="H111" s="40" t="str">
        <f>IF(F111&lt;&gt;"",IF(ISERROR(MATCH(F111,Hilfstabellen!$G$2:$G$51,0)),"","X"),"")</f>
        <v/>
      </c>
      <c r="I111" s="17"/>
      <c r="J111" s="40" t="str">
        <f>IF(F111&lt;&gt;"",IF(ISERROR(MATCH(F111,Hilfstabellen!$G$52:$G$54,0)),"","X"),"")</f>
        <v/>
      </c>
      <c r="K111" s="17"/>
      <c r="L111" s="40" t="str">
        <f>IF(F111&lt;&gt;"",IF(ISERROR(MATCH(F111,Hilfstabellen!$G$2:$G$55,0)),"X",""),"")</f>
        <v/>
      </c>
      <c r="M111" s="17"/>
      <c r="N111" s="42"/>
    </row>
    <row r="112" spans="1:14" x14ac:dyDescent="0.3">
      <c r="A112" s="31" t="str">
        <f>IF(OR(B112&lt;&gt;"",C112&lt;&gt;""),MAX($A$40:A111)+1,"")</f>
        <v/>
      </c>
      <c r="B112" s="16"/>
      <c r="C112" s="16"/>
      <c r="D112" s="17"/>
      <c r="E112" s="20"/>
      <c r="F112" s="50"/>
      <c r="G112" s="49">
        <f>VLOOKUP(F112,tbl_PLZ[],2,0)</f>
        <v>0</v>
      </c>
      <c r="H112" s="40" t="str">
        <f>IF(F112&lt;&gt;"",IF(ISERROR(MATCH(F112,Hilfstabellen!$G$2:$G$51,0)),"","X"),"")</f>
        <v/>
      </c>
      <c r="I112" s="17"/>
      <c r="J112" s="40" t="str">
        <f>IF(F112&lt;&gt;"",IF(ISERROR(MATCH(F112,Hilfstabellen!$G$52:$G$54,0)),"","X"),"")</f>
        <v/>
      </c>
      <c r="K112" s="17"/>
      <c r="L112" s="40" t="str">
        <f>IF(F112&lt;&gt;"",IF(ISERROR(MATCH(F112,Hilfstabellen!$G$2:$G$55,0)),"X",""),"")</f>
        <v/>
      </c>
      <c r="M112" s="17"/>
      <c r="N112" s="42"/>
    </row>
    <row r="113" spans="1:14" x14ac:dyDescent="0.3">
      <c r="A113" s="31" t="str">
        <f>IF(OR(B113&lt;&gt;"",C113&lt;&gt;""),MAX($A$40:A112)+1,"")</f>
        <v/>
      </c>
      <c r="B113" s="16"/>
      <c r="C113" s="16"/>
      <c r="D113" s="17"/>
      <c r="E113" s="20"/>
      <c r="F113" s="50"/>
      <c r="G113" s="49">
        <f>VLOOKUP(F113,tbl_PLZ[],2,0)</f>
        <v>0</v>
      </c>
      <c r="H113" s="40" t="str">
        <f>IF(F113&lt;&gt;"",IF(ISERROR(MATCH(F113,Hilfstabellen!$G$2:$G$51,0)),"","X"),"")</f>
        <v/>
      </c>
      <c r="I113" s="17"/>
      <c r="J113" s="40" t="str">
        <f>IF(F113&lt;&gt;"",IF(ISERROR(MATCH(F113,Hilfstabellen!$G$52:$G$54,0)),"","X"),"")</f>
        <v/>
      </c>
      <c r="K113" s="17"/>
      <c r="L113" s="40" t="str">
        <f>IF(F113&lt;&gt;"",IF(ISERROR(MATCH(F113,Hilfstabellen!$G$2:$G$55,0)),"X",""),"")</f>
        <v/>
      </c>
      <c r="M113" s="17"/>
      <c r="N113" s="42"/>
    </row>
    <row r="114" spans="1:14" x14ac:dyDescent="0.3">
      <c r="A114" s="31" t="str">
        <f>IF(OR(B114&lt;&gt;"",C114&lt;&gt;""),MAX($A$40:A113)+1,"")</f>
        <v/>
      </c>
      <c r="B114" s="16"/>
      <c r="C114" s="16"/>
      <c r="D114" s="17"/>
      <c r="E114" s="20"/>
      <c r="F114" s="50"/>
      <c r="G114" s="49">
        <f>VLOOKUP(F114,tbl_PLZ[],2,0)</f>
        <v>0</v>
      </c>
      <c r="H114" s="40" t="str">
        <f>IF(F114&lt;&gt;"",IF(ISERROR(MATCH(F114,Hilfstabellen!$G$2:$G$51,0)),"","X"),"")</f>
        <v/>
      </c>
      <c r="I114" s="17"/>
      <c r="J114" s="40" t="str">
        <f>IF(F114&lt;&gt;"",IF(ISERROR(MATCH(F114,Hilfstabellen!$G$52:$G$54,0)),"","X"),"")</f>
        <v/>
      </c>
      <c r="K114" s="17"/>
      <c r="L114" s="40" t="str">
        <f>IF(F114&lt;&gt;"",IF(ISERROR(MATCH(F114,Hilfstabellen!$G$2:$G$55,0)),"X",""),"")</f>
        <v/>
      </c>
      <c r="M114" s="17"/>
      <c r="N114" s="42"/>
    </row>
    <row r="115" spans="1:14" x14ac:dyDescent="0.3">
      <c r="A115" s="31" t="str">
        <f>IF(OR(B115&lt;&gt;"",C115&lt;&gt;""),MAX($A$40:A114)+1,"")</f>
        <v/>
      </c>
      <c r="B115" s="16"/>
      <c r="C115" s="16"/>
      <c r="D115" s="17"/>
      <c r="E115" s="20"/>
      <c r="F115" s="50"/>
      <c r="G115" s="49">
        <f>VLOOKUP(F115,tbl_PLZ[],2,0)</f>
        <v>0</v>
      </c>
      <c r="H115" s="40" t="str">
        <f>IF(F115&lt;&gt;"",IF(ISERROR(MATCH(F115,Hilfstabellen!$G$2:$G$51,0)),"","X"),"")</f>
        <v/>
      </c>
      <c r="I115" s="17"/>
      <c r="J115" s="40" t="str">
        <f>IF(F115&lt;&gt;"",IF(ISERROR(MATCH(F115,Hilfstabellen!$G$52:$G$54,0)),"","X"),"")</f>
        <v/>
      </c>
      <c r="K115" s="17"/>
      <c r="L115" s="40" t="str">
        <f>IF(F115&lt;&gt;"",IF(ISERROR(MATCH(F115,Hilfstabellen!$G$2:$G$55,0)),"X",""),"")</f>
        <v/>
      </c>
      <c r="M115" s="17"/>
      <c r="N115" s="42"/>
    </row>
    <row r="116" spans="1:14" x14ac:dyDescent="0.3">
      <c r="A116" s="31" t="str">
        <f>IF(OR(B116&lt;&gt;"",C116&lt;&gt;""),MAX($A$40:A115)+1,"")</f>
        <v/>
      </c>
      <c r="B116" s="16"/>
      <c r="C116" s="16"/>
      <c r="D116" s="17"/>
      <c r="E116" s="20"/>
      <c r="F116" s="50"/>
      <c r="G116" s="49">
        <f>VLOOKUP(F116,tbl_PLZ[],2,0)</f>
        <v>0</v>
      </c>
      <c r="H116" s="40" t="str">
        <f>IF(F116&lt;&gt;"",IF(ISERROR(MATCH(F116,Hilfstabellen!$G$2:$G$51,0)),"","X"),"")</f>
        <v/>
      </c>
      <c r="I116" s="17"/>
      <c r="J116" s="40" t="str">
        <f>IF(F116&lt;&gt;"",IF(ISERROR(MATCH(F116,Hilfstabellen!$G$52:$G$54,0)),"","X"),"")</f>
        <v/>
      </c>
      <c r="K116" s="17"/>
      <c r="L116" s="40" t="str">
        <f>IF(F116&lt;&gt;"",IF(ISERROR(MATCH(F116,Hilfstabellen!$G$2:$G$55,0)),"X",""),"")</f>
        <v/>
      </c>
      <c r="M116" s="17"/>
      <c r="N116" s="42"/>
    </row>
    <row r="117" spans="1:14" x14ac:dyDescent="0.3">
      <c r="A117" s="31" t="str">
        <f>IF(OR(B117&lt;&gt;"",C117&lt;&gt;""),MAX($A$40:A116)+1,"")</f>
        <v/>
      </c>
      <c r="B117" s="16"/>
      <c r="C117" s="16"/>
      <c r="D117" s="17"/>
      <c r="E117" s="20"/>
      <c r="F117" s="50"/>
      <c r="G117" s="49">
        <f>VLOOKUP(F117,tbl_PLZ[],2,0)</f>
        <v>0</v>
      </c>
      <c r="H117" s="40" t="str">
        <f>IF(F117&lt;&gt;"",IF(ISERROR(MATCH(F117,Hilfstabellen!$G$2:$G$51,0)),"","X"),"")</f>
        <v/>
      </c>
      <c r="I117" s="17"/>
      <c r="J117" s="40" t="str">
        <f>IF(F117&lt;&gt;"",IF(ISERROR(MATCH(F117,Hilfstabellen!$G$52:$G$54,0)),"","X"),"")</f>
        <v/>
      </c>
      <c r="K117" s="17"/>
      <c r="L117" s="40" t="str">
        <f>IF(F117&lt;&gt;"",IF(ISERROR(MATCH(F117,Hilfstabellen!$G$2:$G$55,0)),"X",""),"")</f>
        <v/>
      </c>
      <c r="M117" s="17"/>
      <c r="N117" s="42"/>
    </row>
    <row r="118" spans="1:14" x14ac:dyDescent="0.3">
      <c r="A118" s="31" t="str">
        <f>IF(OR(B118&lt;&gt;"",C118&lt;&gt;""),MAX($A$40:A117)+1,"")</f>
        <v/>
      </c>
      <c r="B118" s="16"/>
      <c r="C118" s="16"/>
      <c r="D118" s="17"/>
      <c r="E118" s="20"/>
      <c r="F118" s="50"/>
      <c r="G118" s="49">
        <f>VLOOKUP(F118,tbl_PLZ[],2,0)</f>
        <v>0</v>
      </c>
      <c r="H118" s="40" t="str">
        <f>IF(F118&lt;&gt;"",IF(ISERROR(MATCH(F118,Hilfstabellen!$G$2:$G$51,0)),"","X"),"")</f>
        <v/>
      </c>
      <c r="I118" s="17"/>
      <c r="J118" s="40" t="str">
        <f>IF(F118&lt;&gt;"",IF(ISERROR(MATCH(F118,Hilfstabellen!$G$52:$G$54,0)),"","X"),"")</f>
        <v/>
      </c>
      <c r="K118" s="17"/>
      <c r="L118" s="40" t="str">
        <f>IF(F118&lt;&gt;"",IF(ISERROR(MATCH(F118,Hilfstabellen!$G$2:$G$55,0)),"X",""),"")</f>
        <v/>
      </c>
      <c r="M118" s="17"/>
      <c r="N118" s="42"/>
    </row>
    <row r="119" spans="1:14" x14ac:dyDescent="0.3">
      <c r="A119" s="31" t="str">
        <f>IF(OR(B119&lt;&gt;"",C119&lt;&gt;""),MAX($A$40:A118)+1,"")</f>
        <v/>
      </c>
      <c r="B119" s="16"/>
      <c r="C119" s="16"/>
      <c r="D119" s="17"/>
      <c r="E119" s="20"/>
      <c r="F119" s="50"/>
      <c r="G119" s="49">
        <f>VLOOKUP(F119,tbl_PLZ[],2,0)</f>
        <v>0</v>
      </c>
      <c r="H119" s="40" t="str">
        <f>IF(F119&lt;&gt;"",IF(ISERROR(MATCH(F119,Hilfstabellen!$G$2:$G$51,0)),"","X"),"")</f>
        <v/>
      </c>
      <c r="I119" s="17"/>
      <c r="J119" s="40" t="str">
        <f>IF(F119&lt;&gt;"",IF(ISERROR(MATCH(F119,Hilfstabellen!$G$52:$G$54,0)),"","X"),"")</f>
        <v/>
      </c>
      <c r="K119" s="17"/>
      <c r="L119" s="40" t="str">
        <f>IF(F119&lt;&gt;"",IF(ISERROR(MATCH(F119,Hilfstabellen!$G$2:$G$55,0)),"X",""),"")</f>
        <v/>
      </c>
      <c r="M119" s="17"/>
      <c r="N119" s="42"/>
    </row>
    <row r="120" spans="1:14" x14ac:dyDescent="0.3">
      <c r="A120" s="31" t="str">
        <f>IF(OR(B120&lt;&gt;"",C120&lt;&gt;""),MAX($A$40:A119)+1,"")</f>
        <v/>
      </c>
      <c r="B120" s="16"/>
      <c r="C120" s="16"/>
      <c r="D120" s="17"/>
      <c r="E120" s="20"/>
      <c r="F120" s="50"/>
      <c r="G120" s="49">
        <f>VLOOKUP(F120,tbl_PLZ[],2,0)</f>
        <v>0</v>
      </c>
      <c r="H120" s="40" t="str">
        <f>IF(F120&lt;&gt;"",IF(ISERROR(MATCH(F120,Hilfstabellen!$G$2:$G$51,0)),"","X"),"")</f>
        <v/>
      </c>
      <c r="I120" s="17"/>
      <c r="J120" s="40" t="str">
        <f>IF(F120&lt;&gt;"",IF(ISERROR(MATCH(F120,Hilfstabellen!$G$52:$G$54,0)),"","X"),"")</f>
        <v/>
      </c>
      <c r="K120" s="17"/>
      <c r="L120" s="40" t="str">
        <f>IF(F120&lt;&gt;"",IF(ISERROR(MATCH(F120,Hilfstabellen!$G$2:$G$55,0)),"X",""),"")</f>
        <v/>
      </c>
      <c r="M120" s="17"/>
      <c r="N120" s="42"/>
    </row>
    <row r="121" spans="1:14" x14ac:dyDescent="0.3">
      <c r="A121" s="31" t="str">
        <f>IF(OR(B121&lt;&gt;"",C121&lt;&gt;""),MAX($A$40:A120)+1,"")</f>
        <v/>
      </c>
      <c r="B121" s="16"/>
      <c r="C121" s="16"/>
      <c r="D121" s="17"/>
      <c r="E121" s="20"/>
      <c r="F121" s="50"/>
      <c r="G121" s="49">
        <f>VLOOKUP(F121,tbl_PLZ[],2,0)</f>
        <v>0</v>
      </c>
      <c r="H121" s="40" t="str">
        <f>IF(F121&lt;&gt;"",IF(ISERROR(MATCH(F121,Hilfstabellen!$G$2:$G$51,0)),"","X"),"")</f>
        <v/>
      </c>
      <c r="I121" s="17"/>
      <c r="J121" s="40" t="str">
        <f>IF(F121&lt;&gt;"",IF(ISERROR(MATCH(F121,Hilfstabellen!$G$52:$G$54,0)),"","X"),"")</f>
        <v/>
      </c>
      <c r="K121" s="17"/>
      <c r="L121" s="40" t="str">
        <f>IF(F121&lt;&gt;"",IF(ISERROR(MATCH(F121,Hilfstabellen!$G$2:$G$55,0)),"X",""),"")</f>
        <v/>
      </c>
      <c r="M121" s="17"/>
      <c r="N121" s="42"/>
    </row>
    <row r="122" spans="1:14" x14ac:dyDescent="0.3">
      <c r="A122" s="31" t="str">
        <f>IF(OR(B122&lt;&gt;"",C122&lt;&gt;""),MAX($A$40:A121)+1,"")</f>
        <v/>
      </c>
      <c r="B122" s="16"/>
      <c r="C122" s="16"/>
      <c r="D122" s="17"/>
      <c r="E122" s="20"/>
      <c r="F122" s="50"/>
      <c r="G122" s="49">
        <f>VLOOKUP(F122,tbl_PLZ[],2,0)</f>
        <v>0</v>
      </c>
      <c r="H122" s="40" t="str">
        <f>IF(F122&lt;&gt;"",IF(ISERROR(MATCH(F122,Hilfstabellen!$G$2:$G$51,0)),"","X"),"")</f>
        <v/>
      </c>
      <c r="I122" s="17"/>
      <c r="J122" s="40" t="str">
        <f>IF(F122&lt;&gt;"",IF(ISERROR(MATCH(F122,Hilfstabellen!$G$52:$G$54,0)),"","X"),"")</f>
        <v/>
      </c>
      <c r="K122" s="17"/>
      <c r="L122" s="40" t="str">
        <f>IF(F122&lt;&gt;"",IF(ISERROR(MATCH(F122,Hilfstabellen!$G$2:$G$55,0)),"X",""),"")</f>
        <v/>
      </c>
      <c r="M122" s="17"/>
      <c r="N122" s="42"/>
    </row>
    <row r="123" spans="1:14" x14ac:dyDescent="0.3">
      <c r="A123" s="31" t="str">
        <f>IF(OR(B123&lt;&gt;"",C123&lt;&gt;""),MAX($A$40:A122)+1,"")</f>
        <v/>
      </c>
      <c r="B123" s="16"/>
      <c r="C123" s="16"/>
      <c r="D123" s="17"/>
      <c r="E123" s="20"/>
      <c r="F123" s="50"/>
      <c r="G123" s="49">
        <f>VLOOKUP(F123,tbl_PLZ[],2,0)</f>
        <v>0</v>
      </c>
      <c r="H123" s="40" t="str">
        <f>IF(F123&lt;&gt;"",IF(ISERROR(MATCH(F123,Hilfstabellen!$G$2:$G$51,0)),"","X"),"")</f>
        <v/>
      </c>
      <c r="I123" s="17"/>
      <c r="J123" s="40" t="str">
        <f>IF(F123&lt;&gt;"",IF(ISERROR(MATCH(F123,Hilfstabellen!$G$52:$G$54,0)),"","X"),"")</f>
        <v/>
      </c>
      <c r="K123" s="17"/>
      <c r="L123" s="40" t="str">
        <f>IF(F123&lt;&gt;"",IF(ISERROR(MATCH(F123,Hilfstabellen!$G$2:$G$55,0)),"X",""),"")</f>
        <v/>
      </c>
      <c r="M123" s="17"/>
      <c r="N123" s="42"/>
    </row>
    <row r="124" spans="1:14" x14ac:dyDescent="0.3">
      <c r="A124" s="31" t="str">
        <f>IF(OR(B124&lt;&gt;"",C124&lt;&gt;""),MAX($A$40:A123)+1,"")</f>
        <v/>
      </c>
      <c r="B124" s="16"/>
      <c r="C124" s="16"/>
      <c r="D124" s="17"/>
      <c r="E124" s="20"/>
      <c r="F124" s="50"/>
      <c r="G124" s="49">
        <f>VLOOKUP(F124,tbl_PLZ[],2,0)</f>
        <v>0</v>
      </c>
      <c r="H124" s="40" t="str">
        <f>IF(F124&lt;&gt;"",IF(ISERROR(MATCH(F124,Hilfstabellen!$G$2:$G$51,0)),"","X"),"")</f>
        <v/>
      </c>
      <c r="I124" s="17"/>
      <c r="J124" s="40" t="str">
        <f>IF(F124&lt;&gt;"",IF(ISERROR(MATCH(F124,Hilfstabellen!$G$52:$G$54,0)),"","X"),"")</f>
        <v/>
      </c>
      <c r="K124" s="17"/>
      <c r="L124" s="40" t="str">
        <f>IF(F124&lt;&gt;"",IF(ISERROR(MATCH(F124,Hilfstabellen!$G$2:$G$55,0)),"X",""),"")</f>
        <v/>
      </c>
      <c r="M124" s="17"/>
      <c r="N124" s="42"/>
    </row>
    <row r="125" spans="1:14" x14ac:dyDescent="0.3">
      <c r="A125" s="31" t="str">
        <f>IF(OR(B125&lt;&gt;"",C125&lt;&gt;""),MAX($A$40:A124)+1,"")</f>
        <v/>
      </c>
      <c r="B125" s="16"/>
      <c r="C125" s="16"/>
      <c r="D125" s="17"/>
      <c r="E125" s="20"/>
      <c r="F125" s="50"/>
      <c r="G125" s="49">
        <f>VLOOKUP(F125,tbl_PLZ[],2,0)</f>
        <v>0</v>
      </c>
      <c r="H125" s="40" t="str">
        <f>IF(F125&lt;&gt;"",IF(ISERROR(MATCH(F125,Hilfstabellen!$G$2:$G$51,0)),"","X"),"")</f>
        <v/>
      </c>
      <c r="I125" s="17"/>
      <c r="J125" s="40" t="str">
        <f>IF(F125&lt;&gt;"",IF(ISERROR(MATCH(F125,Hilfstabellen!$G$52:$G$54,0)),"","X"),"")</f>
        <v/>
      </c>
      <c r="K125" s="17"/>
      <c r="L125" s="40" t="str">
        <f>IF(F125&lt;&gt;"",IF(ISERROR(MATCH(F125,Hilfstabellen!$G$2:$G$55,0)),"X",""),"")</f>
        <v/>
      </c>
      <c r="M125" s="17"/>
      <c r="N125" s="42"/>
    </row>
    <row r="126" spans="1:14" x14ac:dyDescent="0.3">
      <c r="A126" s="31" t="str">
        <f>IF(OR(B126&lt;&gt;"",C126&lt;&gt;""),MAX($A$40:A125)+1,"")</f>
        <v/>
      </c>
      <c r="B126" s="16"/>
      <c r="C126" s="16"/>
      <c r="D126" s="17"/>
      <c r="E126" s="20"/>
      <c r="F126" s="50"/>
      <c r="G126" s="49">
        <f>VLOOKUP(F126,tbl_PLZ[],2,0)</f>
        <v>0</v>
      </c>
      <c r="H126" s="40" t="str">
        <f>IF(F126&lt;&gt;"",IF(ISERROR(MATCH(F126,Hilfstabellen!$G$2:$G$51,0)),"","X"),"")</f>
        <v/>
      </c>
      <c r="I126" s="17"/>
      <c r="J126" s="40" t="str">
        <f>IF(F126&lt;&gt;"",IF(ISERROR(MATCH(F126,Hilfstabellen!$G$52:$G$54,0)),"","X"),"")</f>
        <v/>
      </c>
      <c r="K126" s="17"/>
      <c r="L126" s="40" t="str">
        <f>IF(F126&lt;&gt;"",IF(ISERROR(MATCH(F126,Hilfstabellen!$G$2:$G$55,0)),"X",""),"")</f>
        <v/>
      </c>
      <c r="M126" s="17"/>
      <c r="N126" s="42"/>
    </row>
    <row r="127" spans="1:14" x14ac:dyDescent="0.3">
      <c r="A127" s="31" t="str">
        <f>IF(OR(B127&lt;&gt;"",C127&lt;&gt;""),MAX($A$40:A126)+1,"")</f>
        <v/>
      </c>
      <c r="B127" s="16"/>
      <c r="C127" s="16"/>
      <c r="D127" s="17"/>
      <c r="E127" s="20"/>
      <c r="F127" s="50"/>
      <c r="G127" s="49">
        <f>VLOOKUP(F127,tbl_PLZ[],2,0)</f>
        <v>0</v>
      </c>
      <c r="H127" s="40" t="str">
        <f>IF(F127&lt;&gt;"",IF(ISERROR(MATCH(F127,Hilfstabellen!$G$2:$G$51,0)),"","X"),"")</f>
        <v/>
      </c>
      <c r="I127" s="17"/>
      <c r="J127" s="40" t="str">
        <f>IF(F127&lt;&gt;"",IF(ISERROR(MATCH(F127,Hilfstabellen!$G$52:$G$54,0)),"","X"),"")</f>
        <v/>
      </c>
      <c r="K127" s="17"/>
      <c r="L127" s="40" t="str">
        <f>IF(F127&lt;&gt;"",IF(ISERROR(MATCH(F127,Hilfstabellen!$G$2:$G$55,0)),"X",""),"")</f>
        <v/>
      </c>
      <c r="M127" s="17"/>
      <c r="N127" s="42"/>
    </row>
    <row r="128" spans="1:14" x14ac:dyDescent="0.3">
      <c r="A128" s="31" t="str">
        <f>IF(OR(B128&lt;&gt;"",C128&lt;&gt;""),MAX($A$40:A127)+1,"")</f>
        <v/>
      </c>
      <c r="B128" s="16"/>
      <c r="C128" s="16"/>
      <c r="D128" s="17"/>
      <c r="E128" s="20"/>
      <c r="F128" s="50"/>
      <c r="G128" s="49">
        <f>VLOOKUP(F128,tbl_PLZ[],2,0)</f>
        <v>0</v>
      </c>
      <c r="H128" s="40" t="str">
        <f>IF(F128&lt;&gt;"",IF(ISERROR(MATCH(F128,Hilfstabellen!$G$2:$G$51,0)),"","X"),"")</f>
        <v/>
      </c>
      <c r="I128" s="17"/>
      <c r="J128" s="40" t="str">
        <f>IF(F128&lt;&gt;"",IF(ISERROR(MATCH(F128,Hilfstabellen!$G$52:$G$54,0)),"","X"),"")</f>
        <v/>
      </c>
      <c r="K128" s="17"/>
      <c r="L128" s="40" t="str">
        <f>IF(F128&lt;&gt;"",IF(ISERROR(MATCH(F128,Hilfstabellen!$G$2:$G$55,0)),"X",""),"")</f>
        <v/>
      </c>
      <c r="M128" s="17"/>
      <c r="N128" s="42"/>
    </row>
    <row r="129" spans="1:14" x14ac:dyDescent="0.3">
      <c r="A129" s="31" t="str">
        <f>IF(OR(B129&lt;&gt;"",C129&lt;&gt;""),MAX($A$40:A128)+1,"")</f>
        <v/>
      </c>
      <c r="B129" s="16"/>
      <c r="C129" s="16"/>
      <c r="D129" s="17"/>
      <c r="E129" s="20"/>
      <c r="F129" s="50"/>
      <c r="G129" s="49">
        <f>VLOOKUP(F129,tbl_PLZ[],2,0)</f>
        <v>0</v>
      </c>
      <c r="H129" s="40" t="str">
        <f>IF(F129&lt;&gt;"",IF(ISERROR(MATCH(F129,Hilfstabellen!$G$2:$G$51,0)),"","X"),"")</f>
        <v/>
      </c>
      <c r="I129" s="17"/>
      <c r="J129" s="40" t="str">
        <f>IF(F129&lt;&gt;"",IF(ISERROR(MATCH(F129,Hilfstabellen!$G$52:$G$54,0)),"","X"),"")</f>
        <v/>
      </c>
      <c r="K129" s="17"/>
      <c r="L129" s="40" t="str">
        <f>IF(F129&lt;&gt;"",IF(ISERROR(MATCH(F129,Hilfstabellen!$G$2:$G$55,0)),"X",""),"")</f>
        <v/>
      </c>
      <c r="M129" s="17"/>
      <c r="N129" s="42"/>
    </row>
    <row r="130" spans="1:14" x14ac:dyDescent="0.3">
      <c r="A130" s="31" t="str">
        <f>IF(OR(B130&lt;&gt;"",C130&lt;&gt;""),MAX($A$40:A129)+1,"")</f>
        <v/>
      </c>
      <c r="B130" s="16"/>
      <c r="C130" s="16"/>
      <c r="D130" s="17"/>
      <c r="E130" s="20"/>
      <c r="F130" s="50"/>
      <c r="G130" s="49">
        <f>VLOOKUP(F130,tbl_PLZ[],2,0)</f>
        <v>0</v>
      </c>
      <c r="H130" s="40" t="str">
        <f>IF(F130&lt;&gt;"",IF(ISERROR(MATCH(F130,Hilfstabellen!$G$2:$G$51,0)),"","X"),"")</f>
        <v/>
      </c>
      <c r="I130" s="17"/>
      <c r="J130" s="40" t="str">
        <f>IF(F130&lt;&gt;"",IF(ISERROR(MATCH(F130,Hilfstabellen!$G$52:$G$54,0)),"","X"),"")</f>
        <v/>
      </c>
      <c r="K130" s="17"/>
      <c r="L130" s="40" t="str">
        <f>IF(F130&lt;&gt;"",IF(ISERROR(MATCH(F130,Hilfstabellen!$G$2:$G$55,0)),"X",""),"")</f>
        <v/>
      </c>
      <c r="M130" s="17"/>
      <c r="N130" s="42"/>
    </row>
    <row r="131" spans="1:14" x14ac:dyDescent="0.3">
      <c r="A131" s="31" t="str">
        <f>IF(OR(B131&lt;&gt;"",C131&lt;&gt;""),MAX($A$40:A130)+1,"")</f>
        <v/>
      </c>
      <c r="B131" s="16"/>
      <c r="C131" s="16"/>
      <c r="D131" s="17"/>
      <c r="E131" s="20"/>
      <c r="F131" s="50"/>
      <c r="G131" s="49">
        <f>VLOOKUP(F131,tbl_PLZ[],2,0)</f>
        <v>0</v>
      </c>
      <c r="H131" s="40" t="str">
        <f>IF(F131&lt;&gt;"",IF(ISERROR(MATCH(F131,Hilfstabellen!$G$2:$G$51,0)),"","X"),"")</f>
        <v/>
      </c>
      <c r="I131" s="17"/>
      <c r="J131" s="40" t="str">
        <f>IF(F131&lt;&gt;"",IF(ISERROR(MATCH(F131,Hilfstabellen!$G$52:$G$54,0)),"","X"),"")</f>
        <v/>
      </c>
      <c r="K131" s="17"/>
      <c r="L131" s="40" t="str">
        <f>IF(F131&lt;&gt;"",IF(ISERROR(MATCH(F131,Hilfstabellen!$G$2:$G$55,0)),"X",""),"")</f>
        <v/>
      </c>
      <c r="M131" s="17"/>
      <c r="N131" s="42"/>
    </row>
    <row r="132" spans="1:14" x14ac:dyDescent="0.3">
      <c r="A132" s="31" t="str">
        <f>IF(OR(B132&lt;&gt;"",C132&lt;&gt;""),MAX($A$40:A131)+1,"")</f>
        <v/>
      </c>
      <c r="B132" s="16"/>
      <c r="C132" s="16"/>
      <c r="D132" s="17"/>
      <c r="E132" s="20"/>
      <c r="F132" s="50"/>
      <c r="G132" s="49">
        <f>VLOOKUP(F132,tbl_PLZ[],2,0)</f>
        <v>0</v>
      </c>
      <c r="H132" s="40" t="str">
        <f>IF(F132&lt;&gt;"",IF(ISERROR(MATCH(F132,Hilfstabellen!$G$2:$G$51,0)),"","X"),"")</f>
        <v/>
      </c>
      <c r="I132" s="17"/>
      <c r="J132" s="40" t="str">
        <f>IF(F132&lt;&gt;"",IF(ISERROR(MATCH(F132,Hilfstabellen!$G$52:$G$54,0)),"","X"),"")</f>
        <v/>
      </c>
      <c r="K132" s="17"/>
      <c r="L132" s="40" t="str">
        <f>IF(F132&lt;&gt;"",IF(ISERROR(MATCH(F132,Hilfstabellen!$G$2:$G$55,0)),"X",""),"")</f>
        <v/>
      </c>
      <c r="M132" s="17"/>
      <c r="N132" s="42"/>
    </row>
    <row r="133" spans="1:14" x14ac:dyDescent="0.3">
      <c r="A133" s="31" t="str">
        <f>IF(OR(B133&lt;&gt;"",C133&lt;&gt;""),MAX($A$40:A132)+1,"")</f>
        <v/>
      </c>
      <c r="B133" s="16"/>
      <c r="C133" s="16"/>
      <c r="D133" s="17"/>
      <c r="E133" s="20"/>
      <c r="F133" s="50"/>
      <c r="G133" s="49">
        <f>VLOOKUP(F133,tbl_PLZ[],2,0)</f>
        <v>0</v>
      </c>
      <c r="H133" s="40" t="str">
        <f>IF(F133&lt;&gt;"",IF(ISERROR(MATCH(F133,Hilfstabellen!$G$2:$G$51,0)),"","X"),"")</f>
        <v/>
      </c>
      <c r="I133" s="17"/>
      <c r="J133" s="40" t="str">
        <f>IF(F133&lt;&gt;"",IF(ISERROR(MATCH(F133,Hilfstabellen!$G$52:$G$54,0)),"","X"),"")</f>
        <v/>
      </c>
      <c r="K133" s="17"/>
      <c r="L133" s="40" t="str">
        <f>IF(F133&lt;&gt;"",IF(ISERROR(MATCH(F133,Hilfstabellen!$G$2:$G$55,0)),"X",""),"")</f>
        <v/>
      </c>
      <c r="M133" s="17"/>
      <c r="N133" s="42"/>
    </row>
    <row r="134" spans="1:14" x14ac:dyDescent="0.3">
      <c r="A134" s="31" t="str">
        <f>IF(OR(B134&lt;&gt;"",C134&lt;&gt;""),MAX($A$40:A133)+1,"")</f>
        <v/>
      </c>
      <c r="B134" s="16"/>
      <c r="C134" s="16"/>
      <c r="D134" s="17"/>
      <c r="E134" s="20"/>
      <c r="F134" s="50"/>
      <c r="G134" s="49">
        <f>VLOOKUP(F134,tbl_PLZ[],2,0)</f>
        <v>0</v>
      </c>
      <c r="H134" s="40" t="str">
        <f>IF(F134&lt;&gt;"",IF(ISERROR(MATCH(F134,Hilfstabellen!$G$2:$G$51,0)),"","X"),"")</f>
        <v/>
      </c>
      <c r="I134" s="17"/>
      <c r="J134" s="40" t="str">
        <f>IF(F134&lt;&gt;"",IF(ISERROR(MATCH(F134,Hilfstabellen!$G$52:$G$54,0)),"","X"),"")</f>
        <v/>
      </c>
      <c r="K134" s="17"/>
      <c r="L134" s="40" t="str">
        <f>IF(F134&lt;&gt;"",IF(ISERROR(MATCH(F134,Hilfstabellen!$G$2:$G$55,0)),"X",""),"")</f>
        <v/>
      </c>
      <c r="M134" s="17"/>
      <c r="N134" s="42"/>
    </row>
    <row r="135" spans="1:14" x14ac:dyDescent="0.3">
      <c r="A135" s="31" t="str">
        <f>IF(OR(B135&lt;&gt;"",C135&lt;&gt;""),MAX($A$40:A134)+1,"")</f>
        <v/>
      </c>
      <c r="B135" s="16"/>
      <c r="C135" s="16"/>
      <c r="D135" s="17"/>
      <c r="E135" s="20"/>
      <c r="F135" s="50"/>
      <c r="G135" s="49">
        <f>VLOOKUP(F135,tbl_PLZ[],2,0)</f>
        <v>0</v>
      </c>
      <c r="H135" s="40" t="str">
        <f>IF(F135&lt;&gt;"",IF(ISERROR(MATCH(F135,Hilfstabellen!$G$2:$G$51,0)),"","X"),"")</f>
        <v/>
      </c>
      <c r="I135" s="17"/>
      <c r="J135" s="40" t="str">
        <f>IF(F135&lt;&gt;"",IF(ISERROR(MATCH(F135,Hilfstabellen!$G$52:$G$54,0)),"","X"),"")</f>
        <v/>
      </c>
      <c r="K135" s="17"/>
      <c r="L135" s="40" t="str">
        <f>IF(F135&lt;&gt;"",IF(ISERROR(MATCH(F135,Hilfstabellen!$G$2:$G$55,0)),"X",""),"")</f>
        <v/>
      </c>
      <c r="M135" s="17"/>
      <c r="N135" s="42"/>
    </row>
    <row r="136" spans="1:14" x14ac:dyDescent="0.3">
      <c r="A136" s="31" t="str">
        <f>IF(OR(B136&lt;&gt;"",C136&lt;&gt;""),MAX($A$40:A135)+1,"")</f>
        <v/>
      </c>
      <c r="B136" s="16"/>
      <c r="C136" s="16"/>
      <c r="D136" s="17"/>
      <c r="E136" s="20"/>
      <c r="F136" s="50"/>
      <c r="G136" s="49">
        <f>VLOOKUP(F136,tbl_PLZ[],2,0)</f>
        <v>0</v>
      </c>
      <c r="H136" s="40" t="str">
        <f>IF(F136&lt;&gt;"",IF(ISERROR(MATCH(F136,Hilfstabellen!$G$2:$G$51,0)),"","X"),"")</f>
        <v/>
      </c>
      <c r="I136" s="17"/>
      <c r="J136" s="40" t="str">
        <f>IF(F136&lt;&gt;"",IF(ISERROR(MATCH(F136,Hilfstabellen!$G$52:$G$54,0)),"","X"),"")</f>
        <v/>
      </c>
      <c r="K136" s="17"/>
      <c r="L136" s="40" t="str">
        <f>IF(F136&lt;&gt;"",IF(ISERROR(MATCH(F136,Hilfstabellen!$G$2:$G$55,0)),"X",""),"")</f>
        <v/>
      </c>
      <c r="M136" s="17"/>
      <c r="N136" s="42"/>
    </row>
    <row r="137" spans="1:14" x14ac:dyDescent="0.3">
      <c r="A137" s="31" t="str">
        <f>IF(OR(B137&lt;&gt;"",C137&lt;&gt;""),MAX($A$40:A136)+1,"")</f>
        <v/>
      </c>
      <c r="B137" s="16"/>
      <c r="C137" s="16"/>
      <c r="D137" s="17"/>
      <c r="E137" s="20"/>
      <c r="F137" s="50"/>
      <c r="G137" s="49">
        <f>VLOOKUP(F137,tbl_PLZ[],2,0)</f>
        <v>0</v>
      </c>
      <c r="H137" s="40" t="str">
        <f>IF(F137&lt;&gt;"",IF(ISERROR(MATCH(F137,Hilfstabellen!$G$2:$G$51,0)),"","X"),"")</f>
        <v/>
      </c>
      <c r="I137" s="17"/>
      <c r="J137" s="40" t="str">
        <f>IF(F137&lt;&gt;"",IF(ISERROR(MATCH(F137,Hilfstabellen!$G$52:$G$54,0)),"","X"),"")</f>
        <v/>
      </c>
      <c r="K137" s="17"/>
      <c r="L137" s="40" t="str">
        <f>IF(F137&lt;&gt;"",IF(ISERROR(MATCH(F137,Hilfstabellen!$G$2:$G$55,0)),"X",""),"")</f>
        <v/>
      </c>
      <c r="M137" s="17"/>
      <c r="N137" s="42"/>
    </row>
    <row r="138" spans="1:14" x14ac:dyDescent="0.3">
      <c r="A138" s="31" t="str">
        <f>IF(OR(B138&lt;&gt;"",C138&lt;&gt;""),MAX($A$40:A137)+1,"")</f>
        <v/>
      </c>
      <c r="B138" s="16"/>
      <c r="C138" s="16"/>
      <c r="D138" s="17"/>
      <c r="E138" s="20"/>
      <c r="F138" s="50"/>
      <c r="G138" s="49">
        <f>VLOOKUP(F138,tbl_PLZ[],2,0)</f>
        <v>0</v>
      </c>
      <c r="H138" s="40" t="str">
        <f>IF(F138&lt;&gt;"",IF(ISERROR(MATCH(F138,Hilfstabellen!$G$2:$G$51,0)),"","X"),"")</f>
        <v/>
      </c>
      <c r="I138" s="17"/>
      <c r="J138" s="40" t="str">
        <f>IF(F138&lt;&gt;"",IF(ISERROR(MATCH(F138,Hilfstabellen!$G$52:$G$54,0)),"","X"),"")</f>
        <v/>
      </c>
      <c r="K138" s="17"/>
      <c r="L138" s="40" t="str">
        <f>IF(F138&lt;&gt;"",IF(ISERROR(MATCH(F138,Hilfstabellen!$G$2:$G$55,0)),"X",""),"")</f>
        <v/>
      </c>
      <c r="M138" s="17"/>
      <c r="N138" s="42"/>
    </row>
    <row r="139" spans="1:14" x14ac:dyDescent="0.3">
      <c r="A139" s="31" t="str">
        <f>IF(OR(B139&lt;&gt;"",C139&lt;&gt;""),MAX($A$40:A138)+1,"")</f>
        <v/>
      </c>
      <c r="B139" s="16"/>
      <c r="C139" s="16"/>
      <c r="D139" s="17"/>
      <c r="E139" s="20"/>
      <c r="F139" s="50"/>
      <c r="G139" s="49">
        <f>VLOOKUP(F139,tbl_PLZ[],2,0)</f>
        <v>0</v>
      </c>
      <c r="H139" s="40" t="str">
        <f>IF(F139&lt;&gt;"",IF(ISERROR(MATCH(F139,Hilfstabellen!$G$2:$G$51,0)),"","X"),"")</f>
        <v/>
      </c>
      <c r="I139" s="17"/>
      <c r="J139" s="40" t="str">
        <f>IF(F139&lt;&gt;"",IF(ISERROR(MATCH(F139,Hilfstabellen!$G$52:$G$54,0)),"","X"),"")</f>
        <v/>
      </c>
      <c r="K139" s="17"/>
      <c r="L139" s="40" t="str">
        <f>IF(F139&lt;&gt;"",IF(ISERROR(MATCH(F139,Hilfstabellen!$G$2:$G$55,0)),"X",""),"")</f>
        <v/>
      </c>
      <c r="M139" s="17"/>
      <c r="N139" s="42"/>
    </row>
    <row r="140" spans="1:14" x14ac:dyDescent="0.3">
      <c r="A140" s="31" t="str">
        <f>IF(OR(B140&lt;&gt;"",C140&lt;&gt;""),MAX($A$40:A139)+1,"")</f>
        <v/>
      </c>
      <c r="B140" s="16"/>
      <c r="C140" s="16"/>
      <c r="D140" s="17"/>
      <c r="E140" s="20"/>
      <c r="F140" s="50"/>
      <c r="G140" s="49">
        <f>VLOOKUP(F140,tbl_PLZ[],2,0)</f>
        <v>0</v>
      </c>
      <c r="H140" s="40" t="str">
        <f>IF(F140&lt;&gt;"",IF(ISERROR(MATCH(F140,Hilfstabellen!$G$2:$G$51,0)),"","X"),"")</f>
        <v/>
      </c>
      <c r="I140" s="17"/>
      <c r="J140" s="40" t="str">
        <f>IF(F140&lt;&gt;"",IF(ISERROR(MATCH(F140,Hilfstabellen!$G$52:$G$54,0)),"","X"),"")</f>
        <v/>
      </c>
      <c r="K140" s="17"/>
      <c r="L140" s="40" t="str">
        <f>IF(F140&lt;&gt;"",IF(ISERROR(MATCH(F140,Hilfstabellen!$G$2:$G$55,0)),"X",""),"")</f>
        <v/>
      </c>
      <c r="M140" s="17"/>
      <c r="N140" s="42"/>
    </row>
    <row r="141" spans="1:14" x14ac:dyDescent="0.3">
      <c r="A141" s="31" t="str">
        <f>IF(OR(B141&lt;&gt;"",C141&lt;&gt;""),MAX($A$40:A140)+1,"")</f>
        <v/>
      </c>
      <c r="B141" s="16"/>
      <c r="C141" s="16"/>
      <c r="D141" s="17"/>
      <c r="E141" s="20"/>
      <c r="F141" s="50"/>
      <c r="G141" s="49">
        <f>VLOOKUP(F141,tbl_PLZ[],2,0)</f>
        <v>0</v>
      </c>
      <c r="H141" s="40" t="str">
        <f>IF(F141&lt;&gt;"",IF(ISERROR(MATCH(F141,Hilfstabellen!$G$2:$G$51,0)),"","X"),"")</f>
        <v/>
      </c>
      <c r="I141" s="17"/>
      <c r="J141" s="40" t="str">
        <f>IF(F141&lt;&gt;"",IF(ISERROR(MATCH(F141,Hilfstabellen!$G$52:$G$54,0)),"","X"),"")</f>
        <v/>
      </c>
      <c r="K141" s="17"/>
      <c r="L141" s="40" t="str">
        <f>IF(F141&lt;&gt;"",IF(ISERROR(MATCH(F141,Hilfstabellen!$G$2:$G$55,0)),"X",""),"")</f>
        <v/>
      </c>
      <c r="M141" s="17"/>
      <c r="N141" s="42"/>
    </row>
    <row r="142" spans="1:14" x14ac:dyDescent="0.3">
      <c r="A142" s="31" t="str">
        <f>IF(OR(B142&lt;&gt;"",C142&lt;&gt;""),MAX($A$40:A141)+1,"")</f>
        <v/>
      </c>
      <c r="B142" s="16"/>
      <c r="C142" s="16"/>
      <c r="D142" s="17"/>
      <c r="E142" s="20"/>
      <c r="F142" s="50"/>
      <c r="G142" s="49">
        <f>VLOOKUP(F142,tbl_PLZ[],2,0)</f>
        <v>0</v>
      </c>
      <c r="H142" s="40" t="str">
        <f>IF(F142&lt;&gt;"",IF(ISERROR(MATCH(F142,Hilfstabellen!$G$2:$G$51,0)),"","X"),"")</f>
        <v/>
      </c>
      <c r="I142" s="17"/>
      <c r="J142" s="40" t="str">
        <f>IF(F142&lt;&gt;"",IF(ISERROR(MATCH(F142,Hilfstabellen!$G$52:$G$54,0)),"","X"),"")</f>
        <v/>
      </c>
      <c r="K142" s="17"/>
      <c r="L142" s="40" t="str">
        <f>IF(F142&lt;&gt;"",IF(ISERROR(MATCH(F142,Hilfstabellen!$G$2:$G$55,0)),"X",""),"")</f>
        <v/>
      </c>
      <c r="M142" s="17"/>
      <c r="N142" s="42"/>
    </row>
    <row r="143" spans="1:14" x14ac:dyDescent="0.3">
      <c r="A143" s="31" t="str">
        <f>IF(OR(B143&lt;&gt;"",C143&lt;&gt;""),MAX($A$40:A142)+1,"")</f>
        <v/>
      </c>
      <c r="B143" s="16"/>
      <c r="C143" s="16"/>
      <c r="D143" s="17"/>
      <c r="E143" s="20"/>
      <c r="F143" s="50"/>
      <c r="G143" s="49">
        <f>VLOOKUP(F143,tbl_PLZ[],2,0)</f>
        <v>0</v>
      </c>
      <c r="H143" s="40" t="str">
        <f>IF(F143&lt;&gt;"",IF(ISERROR(MATCH(F143,Hilfstabellen!$G$2:$G$51,0)),"","X"),"")</f>
        <v/>
      </c>
      <c r="I143" s="17"/>
      <c r="J143" s="40" t="str">
        <f>IF(F143&lt;&gt;"",IF(ISERROR(MATCH(F143,Hilfstabellen!$G$52:$G$54,0)),"","X"),"")</f>
        <v/>
      </c>
      <c r="K143" s="17"/>
      <c r="L143" s="40" t="str">
        <f>IF(F143&lt;&gt;"",IF(ISERROR(MATCH(F143,Hilfstabellen!$G$2:$G$55,0)),"X",""),"")</f>
        <v/>
      </c>
      <c r="M143" s="17"/>
      <c r="N143" s="42"/>
    </row>
    <row r="144" spans="1:14" x14ac:dyDescent="0.3">
      <c r="A144" s="31" t="str">
        <f>IF(OR(B144&lt;&gt;"",C144&lt;&gt;""),MAX($A$40:A143)+1,"")</f>
        <v/>
      </c>
      <c r="B144" s="16"/>
      <c r="C144" s="16"/>
      <c r="D144" s="17"/>
      <c r="E144" s="20"/>
      <c r="F144" s="50"/>
      <c r="G144" s="49">
        <f>VLOOKUP(F144,tbl_PLZ[],2,0)</f>
        <v>0</v>
      </c>
      <c r="H144" s="40" t="str">
        <f>IF(F144&lt;&gt;"",IF(ISERROR(MATCH(F144,Hilfstabellen!$G$2:$G$51,0)),"","X"),"")</f>
        <v/>
      </c>
      <c r="I144" s="17"/>
      <c r="J144" s="40" t="str">
        <f>IF(F144&lt;&gt;"",IF(ISERROR(MATCH(F144,Hilfstabellen!$G$52:$G$54,0)),"","X"),"")</f>
        <v/>
      </c>
      <c r="K144" s="17"/>
      <c r="L144" s="40" t="str">
        <f>IF(F144&lt;&gt;"",IF(ISERROR(MATCH(F144,Hilfstabellen!$G$2:$G$55,0)),"X",""),"")</f>
        <v/>
      </c>
      <c r="M144" s="17"/>
      <c r="N144" s="42"/>
    </row>
    <row r="145" spans="1:14" x14ac:dyDescent="0.3">
      <c r="A145" s="31" t="str">
        <f>IF(OR(B145&lt;&gt;"",C145&lt;&gt;""),MAX($A$40:A144)+1,"")</f>
        <v/>
      </c>
      <c r="B145" s="16"/>
      <c r="C145" s="16"/>
      <c r="D145" s="17"/>
      <c r="E145" s="20"/>
      <c r="F145" s="50"/>
      <c r="G145" s="49">
        <f>VLOOKUP(F145,tbl_PLZ[],2,0)</f>
        <v>0</v>
      </c>
      <c r="H145" s="40" t="str">
        <f>IF(F145&lt;&gt;"",IF(ISERROR(MATCH(F145,Hilfstabellen!$G$2:$G$51,0)),"","X"),"")</f>
        <v/>
      </c>
      <c r="I145" s="17"/>
      <c r="J145" s="40" t="str">
        <f>IF(F145&lt;&gt;"",IF(ISERROR(MATCH(F145,Hilfstabellen!$G$52:$G$54,0)),"","X"),"")</f>
        <v/>
      </c>
      <c r="K145" s="17"/>
      <c r="L145" s="40" t="str">
        <f>IF(F145&lt;&gt;"",IF(ISERROR(MATCH(F145,Hilfstabellen!$G$2:$G$55,0)),"X",""),"")</f>
        <v/>
      </c>
      <c r="M145" s="17"/>
      <c r="N145" s="42"/>
    </row>
    <row r="146" spans="1:14" x14ac:dyDescent="0.3">
      <c r="A146" s="31" t="str">
        <f>IF(OR(B146&lt;&gt;"",C146&lt;&gt;""),MAX($A$40:A145)+1,"")</f>
        <v/>
      </c>
      <c r="B146" s="16"/>
      <c r="C146" s="16"/>
      <c r="D146" s="17"/>
      <c r="E146" s="20"/>
      <c r="F146" s="50"/>
      <c r="G146" s="49">
        <f>VLOOKUP(F146,tbl_PLZ[],2,0)</f>
        <v>0</v>
      </c>
      <c r="H146" s="40" t="str">
        <f>IF(F146&lt;&gt;"",IF(ISERROR(MATCH(F146,Hilfstabellen!$G$2:$G$51,0)),"","X"),"")</f>
        <v/>
      </c>
      <c r="I146" s="17"/>
      <c r="J146" s="40" t="str">
        <f>IF(F146&lt;&gt;"",IF(ISERROR(MATCH(F146,Hilfstabellen!$G$52:$G$54,0)),"","X"),"")</f>
        <v/>
      </c>
      <c r="K146" s="17"/>
      <c r="L146" s="40" t="str">
        <f>IF(F146&lt;&gt;"",IF(ISERROR(MATCH(F146,Hilfstabellen!$G$2:$G$55,0)),"X",""),"")</f>
        <v/>
      </c>
      <c r="M146" s="17"/>
      <c r="N146" s="42"/>
    </row>
    <row r="147" spans="1:14" x14ac:dyDescent="0.3">
      <c r="A147" s="31" t="str">
        <f>IF(OR(B147&lt;&gt;"",C147&lt;&gt;""),MAX($A$40:A146)+1,"")</f>
        <v/>
      </c>
      <c r="B147" s="16"/>
      <c r="C147" s="16"/>
      <c r="D147" s="17"/>
      <c r="E147" s="20"/>
      <c r="F147" s="50"/>
      <c r="G147" s="49">
        <f>VLOOKUP(F147,tbl_PLZ[],2,0)</f>
        <v>0</v>
      </c>
      <c r="H147" s="40" t="str">
        <f>IF(F147&lt;&gt;"",IF(ISERROR(MATCH(F147,Hilfstabellen!$G$2:$G$51,0)),"","X"),"")</f>
        <v/>
      </c>
      <c r="I147" s="17"/>
      <c r="J147" s="40" t="str">
        <f>IF(F147&lt;&gt;"",IF(ISERROR(MATCH(F147,Hilfstabellen!$G$52:$G$54,0)),"","X"),"")</f>
        <v/>
      </c>
      <c r="K147" s="17"/>
      <c r="L147" s="40" t="str">
        <f>IF(F147&lt;&gt;"",IF(ISERROR(MATCH(F147,Hilfstabellen!$G$2:$G$55,0)),"X",""),"")</f>
        <v/>
      </c>
      <c r="M147" s="17"/>
      <c r="N147" s="42"/>
    </row>
    <row r="148" spans="1:14" x14ac:dyDescent="0.3">
      <c r="A148" s="31" t="str">
        <f>IF(OR(B148&lt;&gt;"",C148&lt;&gt;""),MAX($A$40:A147)+1,"")</f>
        <v/>
      </c>
      <c r="B148" s="16"/>
      <c r="C148" s="16"/>
      <c r="D148" s="17"/>
      <c r="E148" s="20"/>
      <c r="F148" s="50"/>
      <c r="G148" s="49">
        <f>VLOOKUP(F148,tbl_PLZ[],2,0)</f>
        <v>0</v>
      </c>
      <c r="H148" s="40" t="str">
        <f>IF(F148&lt;&gt;"",IF(ISERROR(MATCH(F148,Hilfstabellen!$G$2:$G$51,0)),"","X"),"")</f>
        <v/>
      </c>
      <c r="I148" s="17"/>
      <c r="J148" s="40" t="str">
        <f>IF(F148&lt;&gt;"",IF(ISERROR(MATCH(F148,Hilfstabellen!$G$52:$G$54,0)),"","X"),"")</f>
        <v/>
      </c>
      <c r="K148" s="17"/>
      <c r="L148" s="40" t="str">
        <f>IF(F148&lt;&gt;"",IF(ISERROR(MATCH(F148,Hilfstabellen!$G$2:$G$55,0)),"X",""),"")</f>
        <v/>
      </c>
      <c r="M148" s="17"/>
      <c r="N148" s="42"/>
    </row>
    <row r="149" spans="1:14" x14ac:dyDescent="0.3">
      <c r="A149" s="31" t="str">
        <f>IF(OR(B149&lt;&gt;"",C149&lt;&gt;""),MAX($A$40:A148)+1,"")</f>
        <v/>
      </c>
      <c r="B149" s="16"/>
      <c r="C149" s="16"/>
      <c r="D149" s="17"/>
      <c r="E149" s="20"/>
      <c r="F149" s="50"/>
      <c r="G149" s="49">
        <f>VLOOKUP(F149,tbl_PLZ[],2,0)</f>
        <v>0</v>
      </c>
      <c r="H149" s="40" t="str">
        <f>IF(F149&lt;&gt;"",IF(ISERROR(MATCH(F149,Hilfstabellen!$G$2:$G$51,0)),"","X"),"")</f>
        <v/>
      </c>
      <c r="I149" s="17"/>
      <c r="J149" s="40" t="str">
        <f>IF(F149&lt;&gt;"",IF(ISERROR(MATCH(F149,Hilfstabellen!$G$52:$G$54,0)),"","X"),"")</f>
        <v/>
      </c>
      <c r="K149" s="17"/>
      <c r="L149" s="40" t="str">
        <f>IF(F149&lt;&gt;"",IF(ISERROR(MATCH(F149,Hilfstabellen!$G$2:$G$55,0)),"X",""),"")</f>
        <v/>
      </c>
      <c r="M149" s="17"/>
      <c r="N149" s="42"/>
    </row>
    <row r="150" spans="1:14" x14ac:dyDescent="0.3">
      <c r="A150" s="31" t="str">
        <f>IF(OR(B150&lt;&gt;"",C150&lt;&gt;""),MAX($A$40:A149)+1,"")</f>
        <v/>
      </c>
      <c r="B150" s="16"/>
      <c r="C150" s="16"/>
      <c r="D150" s="17"/>
      <c r="E150" s="20"/>
      <c r="F150" s="50"/>
      <c r="G150" s="49">
        <f>VLOOKUP(F150,tbl_PLZ[],2,0)</f>
        <v>0</v>
      </c>
      <c r="H150" s="40" t="str">
        <f>IF(F150&lt;&gt;"",IF(ISERROR(MATCH(F150,Hilfstabellen!$G$2:$G$51,0)),"","X"),"")</f>
        <v/>
      </c>
      <c r="I150" s="17"/>
      <c r="J150" s="40" t="str">
        <f>IF(F150&lt;&gt;"",IF(ISERROR(MATCH(F150,Hilfstabellen!$G$52:$G$54,0)),"","X"),"")</f>
        <v/>
      </c>
      <c r="K150" s="17"/>
      <c r="L150" s="40" t="str">
        <f>IF(F150&lt;&gt;"",IF(ISERROR(MATCH(F150,Hilfstabellen!$G$2:$G$55,0)),"X",""),"")</f>
        <v/>
      </c>
      <c r="M150" s="17"/>
      <c r="N150" s="42"/>
    </row>
    <row r="151" spans="1:14" x14ac:dyDescent="0.3">
      <c r="A151" s="31" t="str">
        <f>IF(OR(B151&lt;&gt;"",C151&lt;&gt;""),MAX($A$40:A150)+1,"")</f>
        <v/>
      </c>
      <c r="B151" s="16"/>
      <c r="C151" s="16"/>
      <c r="D151" s="17"/>
      <c r="E151" s="20"/>
      <c r="F151" s="50"/>
      <c r="G151" s="49">
        <f>VLOOKUP(F151,tbl_PLZ[],2,0)</f>
        <v>0</v>
      </c>
      <c r="H151" s="40" t="str">
        <f>IF(F151&lt;&gt;"",IF(ISERROR(MATCH(F151,Hilfstabellen!$G$2:$G$51,0)),"","X"),"")</f>
        <v/>
      </c>
      <c r="I151" s="17"/>
      <c r="J151" s="40" t="str">
        <f>IF(F151&lt;&gt;"",IF(ISERROR(MATCH(F151,Hilfstabellen!$G$52:$G$54,0)),"","X"),"")</f>
        <v/>
      </c>
      <c r="K151" s="17"/>
      <c r="L151" s="40" t="str">
        <f>IF(F151&lt;&gt;"",IF(ISERROR(MATCH(F151,Hilfstabellen!$G$2:$G$55,0)),"X",""),"")</f>
        <v/>
      </c>
      <c r="M151" s="17"/>
      <c r="N151" s="42"/>
    </row>
    <row r="152" spans="1:14" x14ac:dyDescent="0.3">
      <c r="A152" s="31" t="str">
        <f>IF(OR(B152&lt;&gt;"",C152&lt;&gt;""),MAX($A$40:A151)+1,"")</f>
        <v/>
      </c>
      <c r="B152" s="16"/>
      <c r="C152" s="16"/>
      <c r="D152" s="17"/>
      <c r="E152" s="20"/>
      <c r="F152" s="50"/>
      <c r="G152" s="49">
        <f>VLOOKUP(F152,tbl_PLZ[],2,0)</f>
        <v>0</v>
      </c>
      <c r="H152" s="40" t="str">
        <f>IF(F152&lt;&gt;"",IF(ISERROR(MATCH(F152,Hilfstabellen!$G$2:$G$51,0)),"","X"),"")</f>
        <v/>
      </c>
      <c r="I152" s="17"/>
      <c r="J152" s="40" t="str">
        <f>IF(F152&lt;&gt;"",IF(ISERROR(MATCH(F152,Hilfstabellen!$G$52:$G$54,0)),"","X"),"")</f>
        <v/>
      </c>
      <c r="K152" s="17"/>
      <c r="L152" s="40" t="str">
        <f>IF(F152&lt;&gt;"",IF(ISERROR(MATCH(F152,Hilfstabellen!$G$2:$G$55,0)),"X",""),"")</f>
        <v/>
      </c>
      <c r="M152" s="17"/>
      <c r="N152" s="42"/>
    </row>
    <row r="153" spans="1:14" x14ac:dyDescent="0.3">
      <c r="A153" s="31" t="str">
        <f>IF(OR(B153&lt;&gt;"",C153&lt;&gt;""),MAX($A$40:A152)+1,"")</f>
        <v/>
      </c>
      <c r="B153" s="16"/>
      <c r="C153" s="16"/>
      <c r="D153" s="17"/>
      <c r="E153" s="20"/>
      <c r="F153" s="50"/>
      <c r="G153" s="49">
        <f>VLOOKUP(F153,tbl_PLZ[],2,0)</f>
        <v>0</v>
      </c>
      <c r="H153" s="40" t="str">
        <f>IF(F153&lt;&gt;"",IF(ISERROR(MATCH(F153,Hilfstabellen!$G$2:$G$51,0)),"","X"),"")</f>
        <v/>
      </c>
      <c r="I153" s="17"/>
      <c r="J153" s="40" t="str">
        <f>IF(F153&lt;&gt;"",IF(ISERROR(MATCH(F153,Hilfstabellen!$G$52:$G$54,0)),"","X"),"")</f>
        <v/>
      </c>
      <c r="K153" s="17"/>
      <c r="L153" s="40" t="str">
        <f>IF(F153&lt;&gt;"",IF(ISERROR(MATCH(F153,Hilfstabellen!$G$2:$G$55,0)),"X",""),"")</f>
        <v/>
      </c>
      <c r="M153" s="17"/>
      <c r="N153" s="42"/>
    </row>
    <row r="154" spans="1:14" x14ac:dyDescent="0.3">
      <c r="A154" s="31" t="str">
        <f>IF(OR(B154&lt;&gt;"",C154&lt;&gt;""),MAX($A$40:A153)+1,"")</f>
        <v/>
      </c>
      <c r="B154" s="16"/>
      <c r="C154" s="16"/>
      <c r="D154" s="17"/>
      <c r="E154" s="20"/>
      <c r="F154" s="50"/>
      <c r="G154" s="49">
        <f>VLOOKUP(F154,tbl_PLZ[],2,0)</f>
        <v>0</v>
      </c>
      <c r="H154" s="40" t="str">
        <f>IF(F154&lt;&gt;"",IF(ISERROR(MATCH(F154,Hilfstabellen!$G$2:$G$51,0)),"","X"),"")</f>
        <v/>
      </c>
      <c r="I154" s="17"/>
      <c r="J154" s="40" t="str">
        <f>IF(F154&lt;&gt;"",IF(ISERROR(MATCH(F154,Hilfstabellen!$G$52:$G$54,0)),"","X"),"")</f>
        <v/>
      </c>
      <c r="K154" s="17"/>
      <c r="L154" s="40" t="str">
        <f>IF(F154&lt;&gt;"",IF(ISERROR(MATCH(F154,Hilfstabellen!$G$2:$G$55,0)),"X",""),"")</f>
        <v/>
      </c>
      <c r="M154" s="17"/>
      <c r="N154" s="42"/>
    </row>
    <row r="155" spans="1:14" x14ac:dyDescent="0.3">
      <c r="A155" s="31" t="str">
        <f>IF(OR(B155&lt;&gt;"",C155&lt;&gt;""),MAX($A$40:A154)+1,"")</f>
        <v/>
      </c>
      <c r="B155" s="16"/>
      <c r="C155" s="16"/>
      <c r="D155" s="17"/>
      <c r="E155" s="20"/>
      <c r="F155" s="50"/>
      <c r="G155" s="49">
        <f>VLOOKUP(F155,tbl_PLZ[],2,0)</f>
        <v>0</v>
      </c>
      <c r="H155" s="40" t="str">
        <f>IF(F155&lt;&gt;"",IF(ISERROR(MATCH(F155,Hilfstabellen!$G$2:$G$51,0)),"","X"),"")</f>
        <v/>
      </c>
      <c r="I155" s="17"/>
      <c r="J155" s="40" t="str">
        <f>IF(F155&lt;&gt;"",IF(ISERROR(MATCH(F155,Hilfstabellen!$G$52:$G$54,0)),"","X"),"")</f>
        <v/>
      </c>
      <c r="K155" s="17"/>
      <c r="L155" s="40" t="str">
        <f>IF(F155&lt;&gt;"",IF(ISERROR(MATCH(F155,Hilfstabellen!$G$2:$G$55,0)),"X",""),"")</f>
        <v/>
      </c>
      <c r="M155" s="17"/>
      <c r="N155" s="42"/>
    </row>
    <row r="156" spans="1:14" x14ac:dyDescent="0.3">
      <c r="A156" s="31" t="str">
        <f>IF(OR(B156&lt;&gt;"",C156&lt;&gt;""),MAX($A$40:A155)+1,"")</f>
        <v/>
      </c>
      <c r="B156" s="16"/>
      <c r="C156" s="16"/>
      <c r="D156" s="17"/>
      <c r="E156" s="20"/>
      <c r="F156" s="50"/>
      <c r="G156" s="49">
        <f>VLOOKUP(F156,tbl_PLZ[],2,0)</f>
        <v>0</v>
      </c>
      <c r="H156" s="40" t="str">
        <f>IF(F156&lt;&gt;"",IF(ISERROR(MATCH(F156,Hilfstabellen!$G$2:$G$51,0)),"","X"),"")</f>
        <v/>
      </c>
      <c r="I156" s="17"/>
      <c r="J156" s="40" t="str">
        <f>IF(F156&lt;&gt;"",IF(ISERROR(MATCH(F156,Hilfstabellen!$G$52:$G$54,0)),"","X"),"")</f>
        <v/>
      </c>
      <c r="K156" s="17"/>
      <c r="L156" s="40" t="str">
        <f>IF(F156&lt;&gt;"",IF(ISERROR(MATCH(F156,Hilfstabellen!$G$2:$G$55,0)),"X",""),"")</f>
        <v/>
      </c>
      <c r="M156" s="17"/>
      <c r="N156" s="42"/>
    </row>
    <row r="157" spans="1:14" x14ac:dyDescent="0.3">
      <c r="A157" s="31" t="str">
        <f>IF(OR(B157&lt;&gt;"",C157&lt;&gt;""),MAX($A$40:A156)+1,"")</f>
        <v/>
      </c>
      <c r="B157" s="16"/>
      <c r="C157" s="16"/>
      <c r="D157" s="17"/>
      <c r="E157" s="20"/>
      <c r="F157" s="50"/>
      <c r="G157" s="49">
        <f>VLOOKUP(F157,tbl_PLZ[],2,0)</f>
        <v>0</v>
      </c>
      <c r="H157" s="40" t="str">
        <f>IF(F157&lt;&gt;"",IF(ISERROR(MATCH(F157,Hilfstabellen!$G$2:$G$51,0)),"","X"),"")</f>
        <v/>
      </c>
      <c r="I157" s="17"/>
      <c r="J157" s="40" t="str">
        <f>IF(F157&lt;&gt;"",IF(ISERROR(MATCH(F157,Hilfstabellen!$G$52:$G$54,0)),"","X"),"")</f>
        <v/>
      </c>
      <c r="K157" s="17"/>
      <c r="L157" s="40" t="str">
        <f>IF(F157&lt;&gt;"",IF(ISERROR(MATCH(F157,Hilfstabellen!$G$2:$G$55,0)),"X",""),"")</f>
        <v/>
      </c>
      <c r="M157" s="17"/>
      <c r="N157" s="42"/>
    </row>
    <row r="158" spans="1:14" x14ac:dyDescent="0.3">
      <c r="A158" s="31" t="str">
        <f>IF(OR(B158&lt;&gt;"",C158&lt;&gt;""),MAX($A$40:A157)+1,"")</f>
        <v/>
      </c>
      <c r="B158" s="16"/>
      <c r="C158" s="16"/>
      <c r="D158" s="17"/>
      <c r="E158" s="20"/>
      <c r="F158" s="50"/>
      <c r="G158" s="49">
        <f>VLOOKUP(F158,tbl_PLZ[],2,0)</f>
        <v>0</v>
      </c>
      <c r="H158" s="40" t="str">
        <f>IF(F158&lt;&gt;"",IF(ISERROR(MATCH(F158,Hilfstabellen!$G$2:$G$51,0)),"","X"),"")</f>
        <v/>
      </c>
      <c r="I158" s="17"/>
      <c r="J158" s="40" t="str">
        <f>IF(F158&lt;&gt;"",IF(ISERROR(MATCH(F158,Hilfstabellen!$G$52:$G$54,0)),"","X"),"")</f>
        <v/>
      </c>
      <c r="K158" s="17"/>
      <c r="L158" s="40" t="str">
        <f>IF(F158&lt;&gt;"",IF(ISERROR(MATCH(F158,Hilfstabellen!$G$2:$G$55,0)),"X",""),"")</f>
        <v/>
      </c>
      <c r="M158" s="17"/>
      <c r="N158" s="42"/>
    </row>
    <row r="159" spans="1:14" x14ac:dyDescent="0.3">
      <c r="A159" s="31" t="str">
        <f>IF(OR(B159&lt;&gt;"",C159&lt;&gt;""),MAX($A$40:A158)+1,"")</f>
        <v/>
      </c>
      <c r="B159" s="16"/>
      <c r="C159" s="16"/>
      <c r="D159" s="17"/>
      <c r="E159" s="20"/>
      <c r="F159" s="50"/>
      <c r="G159" s="49">
        <f>VLOOKUP(F159,tbl_PLZ[],2,0)</f>
        <v>0</v>
      </c>
      <c r="H159" s="40" t="str">
        <f>IF(F159&lt;&gt;"",IF(ISERROR(MATCH(F159,Hilfstabellen!$G$2:$G$51,0)),"","X"),"")</f>
        <v/>
      </c>
      <c r="I159" s="17"/>
      <c r="J159" s="40" t="str">
        <f>IF(F159&lt;&gt;"",IF(ISERROR(MATCH(F159,Hilfstabellen!$G$52:$G$54,0)),"","X"),"")</f>
        <v/>
      </c>
      <c r="K159" s="17"/>
      <c r="L159" s="40" t="str">
        <f>IF(F159&lt;&gt;"",IF(ISERROR(MATCH(F159,Hilfstabellen!$G$2:$G$55,0)),"X",""),"")</f>
        <v/>
      </c>
      <c r="M159" s="17"/>
      <c r="N159" s="42"/>
    </row>
    <row r="160" spans="1:14" x14ac:dyDescent="0.3">
      <c r="A160" s="31" t="str">
        <f>IF(OR(B160&lt;&gt;"",C160&lt;&gt;""),MAX($A$40:A159)+1,"")</f>
        <v/>
      </c>
      <c r="B160" s="16"/>
      <c r="C160" s="16"/>
      <c r="D160" s="17"/>
      <c r="E160" s="20"/>
      <c r="F160" s="50"/>
      <c r="G160" s="49">
        <f>VLOOKUP(F160,tbl_PLZ[],2,0)</f>
        <v>0</v>
      </c>
      <c r="H160" s="40" t="str">
        <f>IF(F160&lt;&gt;"",IF(ISERROR(MATCH(F160,Hilfstabellen!$G$2:$G$51,0)),"","X"),"")</f>
        <v/>
      </c>
      <c r="I160" s="17"/>
      <c r="J160" s="40" t="str">
        <f>IF(F160&lt;&gt;"",IF(ISERROR(MATCH(F160,Hilfstabellen!$G$52:$G$54,0)),"","X"),"")</f>
        <v/>
      </c>
      <c r="K160" s="17"/>
      <c r="L160" s="40" t="str">
        <f>IF(F160&lt;&gt;"",IF(ISERROR(MATCH(F160,Hilfstabellen!$G$2:$G$55,0)),"X",""),"")</f>
        <v/>
      </c>
      <c r="M160" s="17"/>
      <c r="N160" s="42"/>
    </row>
    <row r="161" spans="1:14" ht="17.25" customHeight="1" x14ac:dyDescent="0.3">
      <c r="A161" s="77" t="s">
        <v>124</v>
      </c>
      <c r="B161" s="78"/>
      <c r="C161" s="79"/>
      <c r="D161" s="59">
        <f>COUNT(A41:A160)</f>
        <v>0</v>
      </c>
      <c r="E161" s="36"/>
      <c r="F161" s="35"/>
      <c r="G161" s="35"/>
      <c r="H161" s="37">
        <f>COUNTIF(H41:H160,"X")</f>
        <v>0</v>
      </c>
      <c r="I161" s="37">
        <f>SUM(I41:I160)</f>
        <v>0</v>
      </c>
      <c r="J161" s="37">
        <f>COUNTIF(J41:J160,"X")</f>
        <v>0</v>
      </c>
      <c r="K161" s="37">
        <f>SUM(K41:K160)</f>
        <v>0</v>
      </c>
      <c r="L161" s="37">
        <f>COUNTIF(L41:L160,"X")</f>
        <v>0</v>
      </c>
      <c r="M161" s="37">
        <f>SUM(M41:M160)</f>
        <v>0</v>
      </c>
      <c r="N161" s="43">
        <f>SUM(N41:N160)</f>
        <v>0</v>
      </c>
    </row>
    <row r="162" spans="1:14" x14ac:dyDescent="0.3">
      <c r="G162" s="29" t="s">
        <v>59</v>
      </c>
      <c r="H162" s="19">
        <f>COUNTIFS(H41:H160,"X",$E41:$E160,"&lt;=26",$E41:$E160,"&gt;=4")</f>
        <v>0</v>
      </c>
      <c r="I162" s="59"/>
      <c r="J162" s="19">
        <f>COUNTIFS(J41:J160,"X",$E41:$E160,"&lt;=26",$E41:$E160,"&gt;=6")</f>
        <v>0</v>
      </c>
      <c r="K162" s="59"/>
      <c r="L162" s="19">
        <f>(TN_LK+TN_Stadt+COUNTIFS(L41:L160,"X",$E41:$E160,"&lt;=26",$E41:$E160,"&gt;=4"))*10%</f>
        <v>0</v>
      </c>
      <c r="M162" s="59"/>
    </row>
    <row r="163" spans="1:14" x14ac:dyDescent="0.3">
      <c r="H163" s="4" t="s">
        <v>55</v>
      </c>
      <c r="I163" s="60">
        <f>IF($F$9-$D$9&gt;13,13,$F$9-$D$9)*$H$161</f>
        <v>0</v>
      </c>
      <c r="K163" s="60">
        <f>IF($F$9-$D$9&gt;13,13,$F$9-$D$9)*$J$161</f>
        <v>0</v>
      </c>
      <c r="M163" s="60">
        <f>IF($F$9-$D$9&gt;13,13,$F$9-$D$9)*$L$161</f>
        <v>0</v>
      </c>
    </row>
  </sheetData>
  <sheetProtection algorithmName="SHA-512" hashValue="m4jpn6FfclbqPwphbgWbnbChlI/KVcu7v8ppG0SKOYeb1inbrlasHxGdpeSyWb4QSQX2h7DsRS0x3jX/UH57Qg==" saltValue="XmDNlVfplX7QDLf2zh5q7Q==" spinCount="100000" sheet="1" objects="1" scenarios="1" selectLockedCells="1"/>
  <mergeCells count="12">
    <mergeCell ref="A161:C161"/>
    <mergeCell ref="A34:C34"/>
    <mergeCell ref="D5:G5"/>
    <mergeCell ref="D6:G6"/>
    <mergeCell ref="D7:G7"/>
    <mergeCell ref="B11:G11"/>
    <mergeCell ref="A5:C5"/>
    <mergeCell ref="A6:C6"/>
    <mergeCell ref="A7:C7"/>
    <mergeCell ref="A9:C9"/>
    <mergeCell ref="A8:C8"/>
    <mergeCell ref="D8:G8"/>
  </mergeCells>
  <conditionalFormatting sqref="E13:E32">
    <cfRule type="expression" dxfId="14" priority="2">
      <formula>AND(E13&lt;&gt;"",E13&lt;16)</formula>
    </cfRule>
  </conditionalFormatting>
  <conditionalFormatting sqref="E41:E160">
    <cfRule type="expression" dxfId="13" priority="64">
      <formula>AND(E41&lt;&gt;"",E41&lt;4)</formula>
    </cfRule>
    <cfRule type="cellIs" dxfId="12" priority="65" operator="greaterThan">
      <formula>26</formula>
    </cfRule>
  </conditionalFormatting>
  <conditionalFormatting sqref="G13:G32">
    <cfRule type="cellIs" priority="6" operator="greaterThan">
      <formula>1</formula>
    </cfRule>
    <cfRule type="cellIs" dxfId="11" priority="7" operator="between">
      <formula>0</formula>
      <formula>1</formula>
    </cfRule>
  </conditionalFormatting>
  <conditionalFormatting sqref="G41:G160">
    <cfRule type="cellIs" priority="12" operator="greaterThan">
      <formula>1</formula>
    </cfRule>
    <cfRule type="cellIs" dxfId="10" priority="251" operator="between">
      <formula>0</formula>
      <formula>1</formula>
    </cfRule>
  </conditionalFormatting>
  <conditionalFormatting sqref="G42:G50">
    <cfRule type="uniqueValues" dxfId="9" priority="11"/>
  </conditionalFormatting>
  <conditionalFormatting sqref="G43:G48">
    <cfRule type="cellIs" dxfId="8" priority="5" operator="greaterThan">
      <formula>1</formula>
    </cfRule>
  </conditionalFormatting>
  <conditionalFormatting sqref="H41:I160">
    <cfRule type="expression" dxfId="7" priority="25">
      <formula>$J41="X"</formula>
    </cfRule>
  </conditionalFormatting>
  <conditionalFormatting sqref="H41:K160">
    <cfRule type="expression" dxfId="6" priority="16">
      <formula>$L41="X"</formula>
    </cfRule>
  </conditionalFormatting>
  <conditionalFormatting sqref="J13:K32">
    <cfRule type="expression" dxfId="5" priority="1">
      <formula>$I13="ja"</formula>
    </cfRule>
  </conditionalFormatting>
  <conditionalFormatting sqref="J41:M160">
    <cfRule type="expression" dxfId="4" priority="18">
      <formula>$H41="X"</formula>
    </cfRule>
  </conditionalFormatting>
  <conditionalFormatting sqref="L41:M160">
    <cfRule type="expression" dxfId="3" priority="17">
      <formula>$J41="X"</formula>
    </cfRule>
  </conditionalFormatting>
  <conditionalFormatting sqref="N41:N160">
    <cfRule type="cellIs" dxfId="2" priority="14" operator="greaterThan">
      <formula>0</formula>
    </cfRule>
  </conditionalFormatting>
  <dataValidations count="10">
    <dataValidation type="date" operator="greaterThanOrEqual" allowBlank="1" showInputMessage="1" showErrorMessage="1" errorTitle="Falsche Eingabe" error="Das Endedatum der Maßnahme kann nicht vor dem Beginn der Maßnahme liegen!" sqref="F9" xr:uid="{37BCD091-5803-48E4-BEF6-CE97447A802F}">
      <formula1>D9</formula1>
    </dataValidation>
    <dataValidation type="whole" operator="greaterThan" allowBlank="1" showErrorMessage="1" errorTitle="Lebensalter" error="Bitte gib das Alter in ganzen Jahren ein._x000a_Jünger als 11 Jahre geht nicht." sqref="E33" xr:uid="{E4CE50DC-74AA-4C22-A586-EBAB8E4516D6}">
      <formula1>10</formula1>
    </dataValidation>
    <dataValidation type="whole" allowBlank="1" showInputMessage="1" showErrorMessage="1" errorTitle="Postleitzahl" error="Der eingegebene Wert ist keine gültige Postleitzahl!" sqref="F13:F33" xr:uid="{1A4A90FC-5D34-4243-9FBF-B0A91E130142}">
      <formula1>1000</formula1>
      <formula2>99999</formula2>
    </dataValidation>
    <dataValidation type="whole" allowBlank="1" showInputMessage="1" showErrorMessage="1" errorTitle="Postleitzahl" error="Die Postleitzahl muss 5-stellig sein und besteht nur aus Ziffern." sqref="D8:G8" xr:uid="{B5C5231F-3F4D-469A-B0A1-3B1D64C36968}">
      <formula1>10000</formula1>
      <formula2>99999</formula2>
    </dataValidation>
    <dataValidation type="decimal" operator="greaterThan" allowBlank="1" showDropDown="1" showInputMessage="1" showErrorMessage="1" errorTitle="Nur Geldbeträge möglich" error="Hier können Sie nur einen Betrag eingeben." sqref="N41:N160" xr:uid="{34190AEF-8BA3-482F-ADBD-01CF6D10361F}">
      <formula1>0</formula1>
    </dataValidation>
    <dataValidation type="date" operator="lessThanOrEqual" allowBlank="1" showInputMessage="1" showErrorMessage="1" errorTitle="Falsche Eingabe" error="Das Anfangsdatum der Maßnahme muss  vor dem Ende der Maßnahme liegen!" sqref="D9" xr:uid="{41A01DD4-4F63-4EA5-8BE8-F202D47CB196}">
      <formula1>F9</formula1>
    </dataValidation>
    <dataValidation type="whole" allowBlank="1" showInputMessage="1" showErrorMessage="1" errorTitle="Anzahl der Übernachtungen" error="Es muss mindestens 1 Übernachtung eingegeben werden, es können höchsten so viele Übernachtungen eingegeben werden, wie zwischen Anfang und Ende der Maßnahme Nächte liegen, aber max. _x000a_13 Übernachtungen!" sqref="M41:M160 K41:K160 H33" xr:uid="{83EB85BE-589C-437C-91FD-3DE103992E66}">
      <formula1>1</formula1>
      <formula2>$F$9-$D$9</formula2>
    </dataValidation>
    <dataValidation type="whole" allowBlank="1" showInputMessage="1" showErrorMessage="1" errorTitle="Anzahl der Übernachtungen" error="Es muss mindestens 1 Übernachtung eingegeben werden, es können höchstens so viele Übernachtungen eingegeben werden, wie zwischen Anfang und Ende der Maßnahme Nächte liegen, aber max. 21 Übernachtungen!" sqref="H13" xr:uid="{709829FB-6C07-429B-8279-4F5EDE1627EE}">
      <formula1>1</formula1>
      <formula2>$F$9-$D$9</formula2>
    </dataValidation>
    <dataValidation type="whole" allowBlank="1" showInputMessage="1" showErrorMessage="1" errorTitle="Anzahl der Übernachtungen" error="Es muss mindestens 1 Übernachtung eingegeben werden, es können höchstens so viele Übernachtungen ingegeben werden, wie zwischen Anfang und Ende der Maßnahme Nächte liegen, aber max. 21 Übernachtungen!" sqref="H14:H32" xr:uid="{9B35C311-8F4D-4BD6-AD46-61EFAED1AB5F}">
      <formula1>1</formula1>
      <formula2>$F$9-$D$9</formula2>
    </dataValidation>
    <dataValidation type="whole" errorStyle="warning" operator="greaterThanOrEqual" allowBlank="1" showInputMessage="1" showErrorMessage="1" errorTitle="Lebensalter" error="Jugendleiter sollen mind. 16 Jahre alt sein. Bitte Ausnahmen begründen." sqref="E13:E32" xr:uid="{8CA6A47F-CE11-46B5-A2C9-A0C5BBF1E888}">
      <formula1>16</formula1>
    </dataValidation>
  </dataValidations>
  <pageMargins left="0.51181102362204722" right="0.51181102362204722" top="0.74803149606299213" bottom="0.74803149606299213" header="0.31496062992125984" footer="0.31496062992125984"/>
  <pageSetup paperSize="9" scale="53" fitToHeight="0" orientation="landscape" horizontalDpi="4294967293" verticalDpi="4294967293" r:id="rId1"/>
  <headerFooter>
    <oddFooter>&amp;L&amp;D&amp;CSeite &amp;P von &amp;N&amp;R&amp;F</oddFooter>
  </headerFooter>
  <rowBreaks count="1" manualBreakCount="1">
    <brk id="37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042AD5-472B-460C-B2A9-5009E72125EC}">
          <x14:formula1>
            <xm:f>Hilfstabellen!$C$2:$C$4</xm:f>
          </x14:formula1>
          <xm:sqref>D13:D33 D41:D160</xm:sqref>
        </x14:dataValidation>
        <x14:dataValidation type="list" allowBlank="1" showInputMessage="1" showErrorMessage="1" xr:uid="{3461C422-59ED-484F-BE00-E047FAEA59DA}">
          <x14:formula1>
            <xm:f>Hilfstabellen!$E$2:$E$3</xm:f>
          </x14:formula1>
          <xm:sqref>J33:K33 I13:J32</xm:sqref>
        </x14:dataValidation>
        <x14:dataValidation type="list" allowBlank="1" showInputMessage="1" showErrorMessage="1" xr:uid="{C6B4A6B5-0343-4CE7-B0C2-5EEF3238F31B}">
          <x14:formula1>
            <xm:f>Hilfstabellen!$A$2:$A$8</xm:f>
          </x14:formula1>
          <xm:sqref>L33 K13:K32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82A6-FA5C-496D-8390-9372ACBD1CBF}">
  <sheetPr codeName="Tabelle3">
    <tabColor theme="7" tint="0.39997558519241921"/>
  </sheetPr>
  <dimension ref="A1:E19"/>
  <sheetViews>
    <sheetView workbookViewId="0">
      <selection activeCell="B7" sqref="B7:E7"/>
    </sheetView>
  </sheetViews>
  <sheetFormatPr baseColWidth="10" defaultRowHeight="15" x14ac:dyDescent="0.25"/>
  <cols>
    <col min="1" max="1" width="43.5703125" customWidth="1"/>
    <col min="2" max="3" width="14" customWidth="1"/>
  </cols>
  <sheetData>
    <row r="1" spans="1:5" s="4" customFormat="1" ht="17.25" x14ac:dyDescent="0.3">
      <c r="A1" s="6"/>
    </row>
    <row r="2" spans="1:5" s="4" customFormat="1" ht="17.25" x14ac:dyDescent="0.3">
      <c r="A2" s="6"/>
      <c r="D2" s="7"/>
    </row>
    <row r="3" spans="1:5" s="4" customFormat="1" ht="17.25" x14ac:dyDescent="0.3">
      <c r="A3" s="6"/>
      <c r="E3" s="8"/>
    </row>
    <row r="4" spans="1:5" s="4" customFormat="1" ht="50.25" customHeight="1" x14ac:dyDescent="0.3">
      <c r="A4" s="6"/>
      <c r="E4" s="8"/>
    </row>
    <row r="5" spans="1:5" ht="16.5" x14ac:dyDescent="0.3">
      <c r="A5" s="26" t="s">
        <v>9</v>
      </c>
      <c r="B5" s="1"/>
    </row>
    <row r="7" spans="1:5" ht="16.5" x14ac:dyDescent="0.3">
      <c r="A7" s="24" t="s">
        <v>120</v>
      </c>
      <c r="B7" s="88" t="str">
        <f>IF(Organ&lt;&gt;"",Organ,"")</f>
        <v/>
      </c>
      <c r="C7" s="88"/>
      <c r="D7" s="88"/>
      <c r="E7" s="88"/>
    </row>
    <row r="8" spans="1:5" ht="16.5" x14ac:dyDescent="0.3">
      <c r="A8" s="24" t="s">
        <v>121</v>
      </c>
      <c r="B8" s="88" t="str">
        <f>IF(Titel&lt;&gt;"",Titel,"")</f>
        <v/>
      </c>
      <c r="C8" s="88"/>
      <c r="D8" s="88"/>
      <c r="E8" s="88"/>
    </row>
    <row r="9" spans="1:5" ht="16.5" x14ac:dyDescent="0.3">
      <c r="A9" s="24" t="s">
        <v>63</v>
      </c>
      <c r="B9" s="88" t="str">
        <f>IF(Ort&lt;&gt;"",Ort,"")</f>
        <v/>
      </c>
      <c r="C9" s="88"/>
      <c r="D9" s="88"/>
      <c r="E9" s="88"/>
    </row>
    <row r="10" spans="1:5" ht="16.5" x14ac:dyDescent="0.3">
      <c r="A10" s="24" t="s">
        <v>64</v>
      </c>
      <c r="B10" s="88" t="str">
        <f>IF(PLZ&lt;&gt;"",PLZ,"")</f>
        <v/>
      </c>
      <c r="C10" s="88"/>
      <c r="D10" s="88"/>
      <c r="E10" s="88"/>
    </row>
    <row r="11" spans="1:5" ht="17.25" x14ac:dyDescent="0.3">
      <c r="A11" s="24" t="s">
        <v>13</v>
      </c>
      <c r="B11" s="15" t="str">
        <f>IF(Anfang&lt;&gt;"",Anfang,"")</f>
        <v/>
      </c>
      <c r="C11" s="15" t="str">
        <f>IF(Ende&lt;&gt;"",Ende,"")</f>
        <v/>
      </c>
      <c r="D11" s="22"/>
      <c r="E11" s="23"/>
    </row>
    <row r="12" spans="1:5" ht="16.5" x14ac:dyDescent="0.3">
      <c r="A12" s="26"/>
      <c r="B12" s="10" t="s">
        <v>14</v>
      </c>
      <c r="C12" s="10" t="s">
        <v>15</v>
      </c>
      <c r="D12" s="1"/>
      <c r="E12" s="1"/>
    </row>
    <row r="13" spans="1:5" ht="16.5" x14ac:dyDescent="0.3">
      <c r="A13" s="25"/>
      <c r="B13" s="1"/>
    </row>
    <row r="14" spans="1:5" x14ac:dyDescent="0.25">
      <c r="A14" s="24" t="s">
        <v>10</v>
      </c>
      <c r="B14" s="30" t="s">
        <v>12</v>
      </c>
    </row>
    <row r="15" spans="1:5" ht="16.5" x14ac:dyDescent="0.3">
      <c r="A15" s="27" t="s">
        <v>117</v>
      </c>
      <c r="B15" s="30">
        <f>TN_LK</f>
        <v>0</v>
      </c>
    </row>
    <row r="16" spans="1:5" ht="16.5" x14ac:dyDescent="0.3">
      <c r="A16" s="27" t="s">
        <v>118</v>
      </c>
      <c r="B16" s="30">
        <f>TN_Stadt</f>
        <v>0</v>
      </c>
    </row>
    <row r="17" spans="1:2" ht="16.5" x14ac:dyDescent="0.3">
      <c r="A17" s="27" t="s">
        <v>11</v>
      </c>
      <c r="B17" s="30">
        <f>'Erfassung Betreuer Teilnehmende'!L161</f>
        <v>0</v>
      </c>
    </row>
    <row r="18" spans="1:2" ht="16.5" x14ac:dyDescent="0.3">
      <c r="A18" s="27" t="s">
        <v>119</v>
      </c>
      <c r="B18" s="45">
        <f>'Erfassung Betreuer Teilnehmende'!N161</f>
        <v>0</v>
      </c>
    </row>
    <row r="19" spans="1:2" ht="16.5" x14ac:dyDescent="0.3">
      <c r="A19" s="27" t="s">
        <v>16</v>
      </c>
      <c r="B19" s="30">
        <f>BT</f>
        <v>0</v>
      </c>
    </row>
  </sheetData>
  <sheetProtection algorithmName="SHA-512" hashValue="woEmR0lwssH4yMsmYhXL3OWJ2ziTzPuClPR21MHOUg1vjsjA0iCOawxHPZ5YTxA3y6mAPEDY0CD6u/CH7xmO+A==" saltValue="d2xI9qLr7iuUdHaFx834EQ==" spinCount="100000" sheet="1" objects="1" scenarios="1" selectLockedCells="1"/>
  <mergeCells count="4">
    <mergeCell ref="B8:E8"/>
    <mergeCell ref="B10:E10"/>
    <mergeCell ref="B9:E9"/>
    <mergeCell ref="B7:E7"/>
  </mergeCells>
  <pageMargins left="0.7" right="0.7" top="0.78740157499999996" bottom="0.78740157499999996" header="0.3" footer="0.3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4031-473E-4066-8539-37EE46F170B1}">
  <sheetPr codeName="Tabelle2">
    <tabColor theme="0" tint="-0.249977111117893"/>
    <pageSetUpPr fitToPage="1"/>
  </sheetPr>
  <dimension ref="A1:F48"/>
  <sheetViews>
    <sheetView zoomScale="70" zoomScaleNormal="70" workbookViewId="0">
      <selection activeCell="B5" sqref="B5:E5"/>
    </sheetView>
  </sheetViews>
  <sheetFormatPr baseColWidth="10" defaultColWidth="11.42578125" defaultRowHeight="16.5" x14ac:dyDescent="0.3"/>
  <cols>
    <col min="1" max="1" width="77.42578125" style="1" customWidth="1"/>
    <col min="2" max="3" width="14" style="1" bestFit="1" customWidth="1"/>
    <col min="4" max="5" width="11.42578125" style="1"/>
    <col min="6" max="6" width="31.140625" style="1" customWidth="1"/>
    <col min="7" max="16384" width="11.42578125" style="1"/>
  </cols>
  <sheetData>
    <row r="1" spans="1:5" s="4" customFormat="1" ht="17.25" x14ac:dyDescent="0.3">
      <c r="A1" s="6"/>
    </row>
    <row r="2" spans="1:5" s="4" customFormat="1" ht="17.25" x14ac:dyDescent="0.3">
      <c r="A2" s="6"/>
      <c r="D2" s="7"/>
    </row>
    <row r="3" spans="1:5" s="4" customFormat="1" ht="17.25" x14ac:dyDescent="0.3">
      <c r="A3" s="6"/>
      <c r="E3" s="8"/>
    </row>
    <row r="4" spans="1:5" s="4" customFormat="1" ht="50.25" customHeight="1" x14ac:dyDescent="0.3">
      <c r="A4" s="6"/>
      <c r="E4" s="8"/>
    </row>
    <row r="5" spans="1:5" x14ac:dyDescent="0.3">
      <c r="A5" s="24" t="s">
        <v>120</v>
      </c>
      <c r="B5" s="88">
        <f>Organ</f>
        <v>0</v>
      </c>
      <c r="C5" s="88"/>
      <c r="D5" s="88"/>
      <c r="E5" s="88"/>
    </row>
    <row r="6" spans="1:5" x14ac:dyDescent="0.3">
      <c r="A6" s="24" t="s">
        <v>121</v>
      </c>
      <c r="B6" s="88">
        <f>Titel</f>
        <v>0</v>
      </c>
      <c r="C6" s="88"/>
      <c r="D6" s="88"/>
      <c r="E6" s="88"/>
    </row>
    <row r="7" spans="1:5" x14ac:dyDescent="0.3">
      <c r="A7" s="24" t="s">
        <v>63</v>
      </c>
      <c r="B7" s="88">
        <f>Ort</f>
        <v>0</v>
      </c>
      <c r="C7" s="88"/>
      <c r="D7" s="88"/>
      <c r="E7" s="88"/>
    </row>
    <row r="8" spans="1:5" x14ac:dyDescent="0.3">
      <c r="A8" s="24" t="s">
        <v>64</v>
      </c>
      <c r="B8" s="88">
        <f>PLZ</f>
        <v>0</v>
      </c>
      <c r="C8" s="88"/>
      <c r="D8" s="88"/>
      <c r="E8" s="88"/>
    </row>
    <row r="9" spans="1:5" ht="17.25" x14ac:dyDescent="0.3">
      <c r="A9" s="24" t="s">
        <v>13</v>
      </c>
      <c r="B9" s="15">
        <f>Anfang</f>
        <v>0</v>
      </c>
      <c r="C9" s="15">
        <f>Ende</f>
        <v>0</v>
      </c>
      <c r="D9" s="22"/>
      <c r="E9" s="23"/>
    </row>
    <row r="10" spans="1:5" x14ac:dyDescent="0.3">
      <c r="A10" s="25"/>
      <c r="B10" s="14" t="s">
        <v>14</v>
      </c>
      <c r="C10" s="14" t="s">
        <v>15</v>
      </c>
    </row>
    <row r="11" spans="1:5" x14ac:dyDescent="0.3">
      <c r="A11" s="9" t="s">
        <v>34</v>
      </c>
    </row>
    <row r="12" spans="1:5" x14ac:dyDescent="0.3">
      <c r="A12" s="25"/>
    </row>
    <row r="13" spans="1:5" x14ac:dyDescent="0.3">
      <c r="A13" s="26" t="s">
        <v>27</v>
      </c>
    </row>
    <row r="14" spans="1:5" x14ac:dyDescent="0.3">
      <c r="A14" s="27" t="s">
        <v>17</v>
      </c>
      <c r="B14" s="2" t="s">
        <v>18</v>
      </c>
      <c r="C14" s="2" t="s">
        <v>19</v>
      </c>
      <c r="D14" s="2" t="s">
        <v>20</v>
      </c>
      <c r="E14" s="2" t="s">
        <v>139</v>
      </c>
    </row>
    <row r="15" spans="1:5" x14ac:dyDescent="0.3">
      <c r="A15" s="27" t="s">
        <v>21</v>
      </c>
      <c r="B15" s="21">
        <f>COUNTIFS('Erfassung Betreuer Teilnehmende'!$D$41:$D$160,LEFT(B$14,1),'Erfassung Betreuer Teilnehmende'!$E$41:$E$160,"&lt;10")</f>
        <v>0</v>
      </c>
      <c r="C15" s="21">
        <f>COUNTIFS('Erfassung Betreuer Teilnehmende'!$D$41:$D$160,LEFT(C$14,1),'Erfassung Betreuer Teilnehmende'!$E$41:$E$160,"&lt;10")</f>
        <v>0</v>
      </c>
      <c r="D15" s="21">
        <f>COUNTIFS('Erfassung Betreuer Teilnehmende'!$D$41:$D$160,LEFT(D$14,1),'Erfassung Betreuer Teilnehmende'!$E$41:$E$160,"&lt;10")</f>
        <v>0</v>
      </c>
      <c r="E15" s="21">
        <f t="shared" ref="E15:E20" si="0">SUM(B15:D15)</f>
        <v>0</v>
      </c>
    </row>
    <row r="16" spans="1:5" x14ac:dyDescent="0.3">
      <c r="A16" s="27" t="s">
        <v>22</v>
      </c>
      <c r="B16" s="21">
        <f>COUNTIFS('Erfassung Betreuer Teilnehmende'!$D$41:$D$160,LEFT(B$14,1),'Erfassung Betreuer Teilnehmende'!$E$41:$E$160,"&lt;14")-SUM(B$15:B15)</f>
        <v>0</v>
      </c>
      <c r="C16" s="21">
        <f>COUNTIFS('Erfassung Betreuer Teilnehmende'!$D$41:$D$160,LEFT(C$14,1),'Erfassung Betreuer Teilnehmende'!$E$41:$E$160,"&lt;14")-SUM(C$15:C15)</f>
        <v>0</v>
      </c>
      <c r="D16" s="21">
        <f>COUNTIFS('Erfassung Betreuer Teilnehmende'!$D$41:$D$160,LEFT(D$14,1),'Erfassung Betreuer Teilnehmende'!$E$41:$E$160,"&lt;14")-SUM(D$15:D15)</f>
        <v>0</v>
      </c>
      <c r="E16" s="21">
        <f t="shared" si="0"/>
        <v>0</v>
      </c>
    </row>
    <row r="17" spans="1:6" x14ac:dyDescent="0.3">
      <c r="A17" s="27" t="s">
        <v>23</v>
      </c>
      <c r="B17" s="21">
        <f>COUNTIFS('Erfassung Betreuer Teilnehmende'!$D$41:$D$160,LEFT(B$14,1),'Erfassung Betreuer Teilnehmende'!$E$41:$E$160,"&lt;18")-SUM(B$15:B16)</f>
        <v>0</v>
      </c>
      <c r="C17" s="21">
        <f>COUNTIFS('Erfassung Betreuer Teilnehmende'!$D$41:$D$160,LEFT(C$14,1),'Erfassung Betreuer Teilnehmende'!$E$41:$E$160,"&lt;18")-SUM(C$15:C16)</f>
        <v>0</v>
      </c>
      <c r="D17" s="21">
        <f>COUNTIFS('Erfassung Betreuer Teilnehmende'!$D$41:$D$160,LEFT(D$14,1),'Erfassung Betreuer Teilnehmende'!$E$41:$E$160,"&lt;18")-SUM(D$15:D16)</f>
        <v>0</v>
      </c>
      <c r="E17" s="21">
        <f t="shared" si="0"/>
        <v>0</v>
      </c>
    </row>
    <row r="18" spans="1:6" x14ac:dyDescent="0.3">
      <c r="A18" s="27" t="s">
        <v>24</v>
      </c>
      <c r="B18" s="21">
        <f>COUNTIFS('Erfassung Betreuer Teilnehmende'!$D$41:$D$160,LEFT(B$14,1),'Erfassung Betreuer Teilnehmende'!$E$41:$E$160,"&lt;27")-SUM(B$15:B17)</f>
        <v>0</v>
      </c>
      <c r="C18" s="21">
        <f>COUNTIFS('Erfassung Betreuer Teilnehmende'!$D$41:$D$160,LEFT(C$14,1),'Erfassung Betreuer Teilnehmende'!$E$41:$E$160,"&lt;27")-SUM(C$15:C17)</f>
        <v>0</v>
      </c>
      <c r="D18" s="21">
        <f>COUNTIFS('Erfassung Betreuer Teilnehmende'!$D$41:$D$160,LEFT(D$14,1),'Erfassung Betreuer Teilnehmende'!$E$41:$E$160,"&lt;27")-SUM(D$15:D17)</f>
        <v>0</v>
      </c>
      <c r="E18" s="21">
        <f t="shared" si="0"/>
        <v>0</v>
      </c>
    </row>
    <row r="19" spans="1:6" x14ac:dyDescent="0.3">
      <c r="A19" s="27" t="s">
        <v>25</v>
      </c>
      <c r="B19" s="21">
        <f>COUNTIFS('Erfassung Betreuer Teilnehmende'!$D$41:$D$160,LEFT(B$14,1),'Erfassung Betreuer Teilnehmende'!$E$41:$E$160,"&gt;=27")</f>
        <v>0</v>
      </c>
      <c r="C19" s="21">
        <f>COUNTIFS('Erfassung Betreuer Teilnehmende'!$D$41:$D$160,LEFT(C$14,1),'Erfassung Betreuer Teilnehmende'!$E$41:$E$160,"&gt;=27")</f>
        <v>0</v>
      </c>
      <c r="D19" s="21">
        <f>COUNTIFS('Erfassung Betreuer Teilnehmende'!$D$41:$D$160,LEFT(D$14,1),'Erfassung Betreuer Teilnehmende'!$E$41:$E$160,"&gt;=27")</f>
        <v>0</v>
      </c>
      <c r="E19" s="21">
        <f t="shared" si="0"/>
        <v>0</v>
      </c>
    </row>
    <row r="20" spans="1:6" x14ac:dyDescent="0.3">
      <c r="A20" s="27" t="s">
        <v>26</v>
      </c>
      <c r="B20" s="21">
        <f>SUM(B15:B19)</f>
        <v>0</v>
      </c>
      <c r="C20" s="21">
        <f>SUM(C15:C19)</f>
        <v>0</v>
      </c>
      <c r="D20" s="21">
        <f>SUM(D15:D19)</f>
        <v>0</v>
      </c>
      <c r="E20" s="21">
        <f t="shared" si="0"/>
        <v>0</v>
      </c>
    </row>
    <row r="21" spans="1:6" x14ac:dyDescent="0.3">
      <c r="A21" s="25"/>
    </row>
    <row r="22" spans="1:6" x14ac:dyDescent="0.3">
      <c r="A22" s="9" t="s">
        <v>48</v>
      </c>
    </row>
    <row r="23" spans="1:6" x14ac:dyDescent="0.3">
      <c r="A23" s="25"/>
    </row>
    <row r="24" spans="1:6" ht="30.75" customHeight="1" x14ac:dyDescent="0.3">
      <c r="A24" s="28" t="s">
        <v>47</v>
      </c>
      <c r="F24" s="3"/>
    </row>
    <row r="25" spans="1:6" x14ac:dyDescent="0.3">
      <c r="A25" s="24" t="s">
        <v>28</v>
      </c>
      <c r="B25" s="2" t="s">
        <v>18</v>
      </c>
      <c r="C25" s="2" t="s">
        <v>19</v>
      </c>
      <c r="D25" s="2" t="s">
        <v>20</v>
      </c>
    </row>
    <row r="26" spans="1:6" x14ac:dyDescent="0.3">
      <c r="A26" s="27" t="s">
        <v>29</v>
      </c>
      <c r="B26" s="21">
        <f>COUNTIFS('Erfassung Betreuer Teilnehmende'!$D$13:$D$33,LEFT(B$25,1),'Erfassung Betreuer Teilnehmende'!$E$13:$E$33,"&lt;16",'Erfassung Betreuer Teilnehmende'!$I$13:$I$33,"&lt;&gt;")</f>
        <v>0</v>
      </c>
      <c r="C26" s="21">
        <f>COUNTIFS('Erfassung Betreuer Teilnehmende'!$D$13:$D$33,LEFT(C$25,1),'Erfassung Betreuer Teilnehmende'!$E$13:$E$33,"&lt;16",'Erfassung Betreuer Teilnehmende'!$I$13:$I$33,"&lt;&gt;")</f>
        <v>0</v>
      </c>
      <c r="D26" s="21">
        <f>COUNTIFS('Erfassung Betreuer Teilnehmende'!$D$13:$D$33,LEFT(D$25,1),'Erfassung Betreuer Teilnehmende'!$E$13:$E$33,"&lt;16",'Erfassung Betreuer Teilnehmende'!$I$13:$I$33,"&lt;&gt;")</f>
        <v>0</v>
      </c>
    </row>
    <row r="27" spans="1:6" x14ac:dyDescent="0.3">
      <c r="A27" s="27" t="s">
        <v>30</v>
      </c>
      <c r="B27" s="21">
        <f>COUNTIFS('Erfassung Betreuer Teilnehmende'!$D$13:$D$33,LEFT(B$25,1),'Erfassung Betreuer Teilnehmende'!$E$13:$E$33,"&lt;18",'Erfassung Betreuer Teilnehmende'!$I$13:$I$33,"&lt;&gt;")-SUM(B$26:B26)</f>
        <v>0</v>
      </c>
      <c r="C27" s="21">
        <f>COUNTIFS('Erfassung Betreuer Teilnehmende'!$D$13:$D$33,LEFT(C$25,1),'Erfassung Betreuer Teilnehmende'!$E$13:$E$33,"&lt;18",'Erfassung Betreuer Teilnehmende'!$I$13:$I$33,"&lt;&gt;")-SUM(C$26:C26)</f>
        <v>0</v>
      </c>
      <c r="D27" s="21">
        <f>COUNTIFS('Erfassung Betreuer Teilnehmende'!$D$13:$D$33,LEFT(D$25,1),'Erfassung Betreuer Teilnehmende'!$E$13:$E$33,"&lt;18",'Erfassung Betreuer Teilnehmende'!$I$13:$I$33,"&lt;&gt;")-SUM(D$26:D26)</f>
        <v>0</v>
      </c>
    </row>
    <row r="28" spans="1:6" x14ac:dyDescent="0.3">
      <c r="A28" s="27" t="s">
        <v>24</v>
      </c>
      <c r="B28" s="21">
        <f>COUNTIFS('Erfassung Betreuer Teilnehmende'!$D$13:$D$33,LEFT(B$25,1),'Erfassung Betreuer Teilnehmende'!$E$13:$E$33,"&lt;27",'Erfassung Betreuer Teilnehmende'!$I$13:$I$33,"&lt;&gt;")-SUM(B$26:B27)</f>
        <v>0</v>
      </c>
      <c r="C28" s="21">
        <f>COUNTIFS('Erfassung Betreuer Teilnehmende'!$D$13:$D$33,LEFT(C$25,1),'Erfassung Betreuer Teilnehmende'!$E$13:$E$33,"&lt;27",'Erfassung Betreuer Teilnehmende'!$I$13:$I$33,"&lt;&gt;")-SUM(C$26:C27)</f>
        <v>0</v>
      </c>
      <c r="D28" s="21">
        <f>COUNTIFS('Erfassung Betreuer Teilnehmende'!$D$13:$D$33,LEFT(D$25,1),'Erfassung Betreuer Teilnehmende'!$E$13:$E$33,"&lt;27",'Erfassung Betreuer Teilnehmende'!$I$13:$I$33,"&lt;&gt;")-SUM(D$26:D27)</f>
        <v>0</v>
      </c>
    </row>
    <row r="29" spans="1:6" x14ac:dyDescent="0.3">
      <c r="A29" s="27" t="s">
        <v>31</v>
      </c>
      <c r="B29" s="21">
        <f>COUNTIFS('Erfassung Betreuer Teilnehmende'!$D$13:$D$33,LEFT(B$25,1),'Erfassung Betreuer Teilnehmende'!$E$13:$E$33,"&lt;45",'Erfassung Betreuer Teilnehmende'!$I$13:$I$33,"&lt;&gt;")-SUM(B$26:B28)</f>
        <v>0</v>
      </c>
      <c r="C29" s="21">
        <f>COUNTIFS('Erfassung Betreuer Teilnehmende'!$D$13:$D$33,LEFT(C$25,1),'Erfassung Betreuer Teilnehmende'!$E$13:$E$33,"&lt;45",'Erfassung Betreuer Teilnehmende'!$I$13:$I$33,"&lt;&gt;")-SUM(C$26:C28)</f>
        <v>0</v>
      </c>
      <c r="D29" s="21">
        <f>COUNTIFS('Erfassung Betreuer Teilnehmende'!$D$13:$D$33,LEFT(D$25,1),'Erfassung Betreuer Teilnehmende'!$E$13:$E$33,"&lt;45",'Erfassung Betreuer Teilnehmende'!$I$13:$I$33,"&lt;&gt;")-SUM(D$26:D28)</f>
        <v>0</v>
      </c>
    </row>
    <row r="30" spans="1:6" x14ac:dyDescent="0.3">
      <c r="A30" s="27" t="s">
        <v>32</v>
      </c>
      <c r="B30" s="21">
        <f>COUNTIFS('Erfassung Betreuer Teilnehmende'!$D$13:$D$33,LEFT(B$25,1),'Erfassung Betreuer Teilnehmende'!$E$13:$E$33,"&gt;=45",'Erfassung Betreuer Teilnehmende'!$I$13:$I$33,"Ja")</f>
        <v>0</v>
      </c>
      <c r="C30" s="21">
        <f>COUNTIFS('Erfassung Betreuer Teilnehmende'!$D$13:$D$33,LEFT(C$25,1),'Erfassung Betreuer Teilnehmende'!$E$13:$E$33,"&gt;=45",'Erfassung Betreuer Teilnehmende'!$I$13:$I$33,"Ja")</f>
        <v>0</v>
      </c>
      <c r="D30" s="21">
        <f>COUNTIFS('Erfassung Betreuer Teilnehmende'!$D$13:$D$33,LEFT(D$25,1),'Erfassung Betreuer Teilnehmende'!$E$13:$E$33,"&gt;=45",'Erfassung Betreuer Teilnehmende'!$I$13:$I$33,"Ja")</f>
        <v>0</v>
      </c>
    </row>
    <row r="31" spans="1:6" x14ac:dyDescent="0.3">
      <c r="A31" s="27" t="s">
        <v>33</v>
      </c>
      <c r="B31" s="21">
        <f>SUM(B26:B30)</f>
        <v>0</v>
      </c>
      <c r="C31" s="21">
        <f>SUM(C26:C30)</f>
        <v>0</v>
      </c>
      <c r="D31" s="21">
        <f>SUM(D26:D30)</f>
        <v>0</v>
      </c>
    </row>
    <row r="32" spans="1:6" x14ac:dyDescent="0.3">
      <c r="A32" s="25"/>
    </row>
    <row r="33" spans="1:6" x14ac:dyDescent="0.3">
      <c r="A33" s="25"/>
    </row>
    <row r="34" spans="1:6" ht="57" x14ac:dyDescent="0.3">
      <c r="A34" s="28" t="s">
        <v>58</v>
      </c>
      <c r="F34" s="3"/>
    </row>
    <row r="35" spans="1:6" x14ac:dyDescent="0.3">
      <c r="A35" s="24" t="s">
        <v>35</v>
      </c>
      <c r="B35" s="2" t="s">
        <v>18</v>
      </c>
      <c r="C35" s="2" t="s">
        <v>19</v>
      </c>
      <c r="D35" s="2" t="s">
        <v>20</v>
      </c>
    </row>
    <row r="36" spans="1:6" x14ac:dyDescent="0.3">
      <c r="A36" s="27" t="s">
        <v>36</v>
      </c>
      <c r="B36" s="2">
        <f>COUNTIFS('Erfassung Betreuer Teilnehmende'!$D$13:$D$33,LEFT(B$35,1),'Erfassung Betreuer Teilnehmende'!$E$13:$E$33,"&lt;45",'Erfassung Betreuer Teilnehmende'!$J$13:$J$33,"Ja")</f>
        <v>0</v>
      </c>
      <c r="C36" s="2">
        <f>COUNTIFS('Erfassung Betreuer Teilnehmende'!$D$13:$D$33,LEFT(C$35,1),'Erfassung Betreuer Teilnehmende'!$E$13:$E$33,"&lt;45",'Erfassung Betreuer Teilnehmende'!$J$13:$J$33,"Ja")</f>
        <v>0</v>
      </c>
      <c r="D36" s="2">
        <f>COUNTIFS('Erfassung Betreuer Teilnehmende'!$D$13:$D$33,LEFT(D$35,1),'Erfassung Betreuer Teilnehmende'!$E$13:$E$33,"&lt;45",'Erfassung Betreuer Teilnehmende'!$J$13:$J$33,"Ja")</f>
        <v>0</v>
      </c>
    </row>
    <row r="37" spans="1:6" x14ac:dyDescent="0.3">
      <c r="A37" s="27" t="s">
        <v>37</v>
      </c>
      <c r="B37" s="2">
        <f>COUNTIFS('Erfassung Betreuer Teilnehmende'!$D$13:$D$33,LEFT(B$35,1),'Erfassung Betreuer Teilnehmende'!$E$13:$E$33,"&gt;=45",'Erfassung Betreuer Teilnehmende'!$J$13:$J$33,"Ja")</f>
        <v>0</v>
      </c>
      <c r="C37" s="2">
        <f>COUNTIFS('Erfassung Betreuer Teilnehmende'!$D$13:$D$33,LEFT(C$35,1),'Erfassung Betreuer Teilnehmende'!$E$13:$E$33,"&gt;=45",'Erfassung Betreuer Teilnehmende'!$J$13:$J$33,"Ja")</f>
        <v>0</v>
      </c>
      <c r="D37" s="2">
        <f>COUNTIFS('Erfassung Betreuer Teilnehmende'!$D$13:$D$33,LEFT(D$35,1),'Erfassung Betreuer Teilnehmende'!$E$13:$E$33,"&gt;=45",'Erfassung Betreuer Teilnehmende'!$J$13:$J$33,"Ja")</f>
        <v>0</v>
      </c>
    </row>
    <row r="38" spans="1:6" x14ac:dyDescent="0.3">
      <c r="A38" s="27" t="s">
        <v>38</v>
      </c>
      <c r="B38" s="2">
        <f>SUM(B36:B37)</f>
        <v>0</v>
      </c>
      <c r="C38" s="2">
        <f>SUM(C36:C37)</f>
        <v>0</v>
      </c>
      <c r="D38" s="2">
        <f>SUM(D36:D37)</f>
        <v>0</v>
      </c>
    </row>
    <row r="39" spans="1:6" x14ac:dyDescent="0.3">
      <c r="A39" s="25"/>
    </row>
    <row r="40" spans="1:6" x14ac:dyDescent="0.3">
      <c r="A40" s="25"/>
    </row>
    <row r="41" spans="1:6" x14ac:dyDescent="0.3">
      <c r="A41" s="24" t="s">
        <v>46</v>
      </c>
    </row>
    <row r="42" spans="1:6" x14ac:dyDescent="0.3">
      <c r="A42" s="27" t="s">
        <v>39</v>
      </c>
      <c r="B42" s="2" t="s">
        <v>12</v>
      </c>
    </row>
    <row r="43" spans="1:6" x14ac:dyDescent="0.3">
      <c r="A43" s="27" t="s">
        <v>40</v>
      </c>
      <c r="B43" s="2">
        <f>COUNTIF('Erfassung Betreuer Teilnehmende'!$K$13:$K$33,$A43)</f>
        <v>0</v>
      </c>
    </row>
    <row r="44" spans="1:6" x14ac:dyDescent="0.3">
      <c r="A44" s="27" t="s">
        <v>41</v>
      </c>
      <c r="B44" s="2">
        <f>COUNTIF('Erfassung Betreuer Teilnehmende'!$K$13:$K$33,$A44)</f>
        <v>0</v>
      </c>
    </row>
    <row r="45" spans="1:6" x14ac:dyDescent="0.3">
      <c r="A45" s="27" t="s">
        <v>42</v>
      </c>
      <c r="B45" s="2">
        <f>COUNTIF('Erfassung Betreuer Teilnehmende'!$K$13:$K$33,$A45)</f>
        <v>0</v>
      </c>
    </row>
    <row r="46" spans="1:6" x14ac:dyDescent="0.3">
      <c r="A46" s="27" t="s">
        <v>43</v>
      </c>
      <c r="B46" s="2">
        <f>COUNTIF('Erfassung Betreuer Teilnehmende'!$K$13:$K$33,$A46)</f>
        <v>0</v>
      </c>
    </row>
    <row r="47" spans="1:6" x14ac:dyDescent="0.3">
      <c r="A47" s="27" t="s">
        <v>44</v>
      </c>
      <c r="B47" s="2">
        <f>COUNTIF('Erfassung Betreuer Teilnehmende'!$K$13:$K$33,$A47)</f>
        <v>0</v>
      </c>
    </row>
    <row r="48" spans="1:6" x14ac:dyDescent="0.3">
      <c r="A48" s="27" t="s">
        <v>45</v>
      </c>
      <c r="B48" s="2">
        <f>COUNTIF('Erfassung Betreuer Teilnehmende'!$K$13:$K$33,$A48)</f>
        <v>0</v>
      </c>
    </row>
  </sheetData>
  <sheetProtection algorithmName="SHA-512" hashValue="j0BXwOstdLnijGUCeLWX8Zz2JSXIPTIFO6wGQhL9YIy8EtmiEndrPvcHnNjqO+Tnq3Ix7+60CbrYZmIL8kc+IQ==" saltValue="Vm/XZKPvcLVYr3jBBaNXdw==" spinCount="100000" sheet="1" objects="1" scenarios="1" selectLockedCells="1"/>
  <mergeCells count="4">
    <mergeCell ref="B5:E5"/>
    <mergeCell ref="B6:E6"/>
    <mergeCell ref="B7:E7"/>
    <mergeCell ref="B8:E8"/>
  </mergeCells>
  <pageMargins left="0.7" right="0.7" top="0.78740157499999996" bottom="0.78740157499999996" header="0.3" footer="0.3"/>
  <pageSetup paperSize="9" scale="68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66AA-6E17-4C10-B0BD-BC54840C4FE6}">
  <sheetPr codeName="HT"/>
  <dimension ref="A1:K55"/>
  <sheetViews>
    <sheetView workbookViewId="0"/>
  </sheetViews>
  <sheetFormatPr baseColWidth="10" defaultRowHeight="15" x14ac:dyDescent="0.25"/>
  <cols>
    <col min="1" max="1" width="23" bestFit="1" customWidth="1"/>
    <col min="3" max="3" width="13" customWidth="1"/>
    <col min="8" max="8" width="30" bestFit="1" customWidth="1"/>
  </cols>
  <sheetData>
    <row r="1" spans="1:11" x14ac:dyDescent="0.25">
      <c r="A1" t="s">
        <v>50</v>
      </c>
      <c r="C1" t="s">
        <v>51</v>
      </c>
      <c r="E1" t="s">
        <v>56</v>
      </c>
      <c r="G1" t="s">
        <v>1</v>
      </c>
      <c r="H1" t="s">
        <v>2</v>
      </c>
    </row>
    <row r="2" spans="1:11" x14ac:dyDescent="0.25">
      <c r="A2" t="s">
        <v>40</v>
      </c>
      <c r="C2" t="s">
        <v>52</v>
      </c>
      <c r="E2" t="s">
        <v>60</v>
      </c>
      <c r="G2" s="46">
        <v>83088</v>
      </c>
      <c r="H2" s="47" t="s">
        <v>65</v>
      </c>
      <c r="J2">
        <v>83043</v>
      </c>
      <c r="K2" t="str" cm="1">
        <f t="array" aca="1" ref="K2:K4" ca="1">OFFSET(H1,MATCH(J2,G1:G51,0)-1,0,COUNTIF(G1:G51,J2))</f>
        <v>Bad Aibling</v>
      </c>
    </row>
    <row r="3" spans="1:11" x14ac:dyDescent="0.25">
      <c r="A3" t="s">
        <v>41</v>
      </c>
      <c r="C3" t="s">
        <v>53</v>
      </c>
      <c r="E3" t="s">
        <v>61</v>
      </c>
      <c r="G3" s="46">
        <v>83080</v>
      </c>
      <c r="H3" s="47" t="s">
        <v>66</v>
      </c>
      <c r="K3" t="str">
        <f ca="1"/>
        <v>Willing</v>
      </c>
    </row>
    <row r="4" spans="1:11" x14ac:dyDescent="0.25">
      <c r="A4" t="s">
        <v>42</v>
      </c>
      <c r="C4" t="s">
        <v>54</v>
      </c>
      <c r="G4" s="46">
        <v>83126</v>
      </c>
      <c r="H4" s="47" t="s">
        <v>67</v>
      </c>
      <c r="K4" t="str">
        <f ca="1"/>
        <v>Mietraching</v>
      </c>
    </row>
    <row r="5" spans="1:11" x14ac:dyDescent="0.25">
      <c r="A5" t="s">
        <v>43</v>
      </c>
      <c r="G5" s="46">
        <v>83098</v>
      </c>
      <c r="H5" s="47" t="s">
        <v>68</v>
      </c>
    </row>
    <row r="6" spans="1:11" x14ac:dyDescent="0.25">
      <c r="A6" t="s">
        <v>44</v>
      </c>
      <c r="E6" t="s">
        <v>56</v>
      </c>
      <c r="G6" s="46">
        <v>83131</v>
      </c>
      <c r="H6" s="47" t="s">
        <v>69</v>
      </c>
    </row>
    <row r="7" spans="1:11" x14ac:dyDescent="0.25">
      <c r="A7" t="s">
        <v>49</v>
      </c>
      <c r="E7" t="s">
        <v>57</v>
      </c>
      <c r="G7" s="46">
        <v>83064</v>
      </c>
      <c r="H7" s="47" t="s">
        <v>70</v>
      </c>
    </row>
    <row r="8" spans="1:11" x14ac:dyDescent="0.25">
      <c r="A8" t="s">
        <v>61</v>
      </c>
      <c r="E8" s="39" t="s">
        <v>62</v>
      </c>
      <c r="G8" s="46">
        <v>83075</v>
      </c>
      <c r="H8" s="47" t="s">
        <v>71</v>
      </c>
    </row>
    <row r="9" spans="1:11" x14ac:dyDescent="0.25">
      <c r="G9" s="46">
        <v>83115</v>
      </c>
      <c r="H9" s="47" t="s">
        <v>72</v>
      </c>
    </row>
    <row r="10" spans="1:11" x14ac:dyDescent="0.25">
      <c r="G10" s="46">
        <v>83122</v>
      </c>
      <c r="H10" s="47" t="s">
        <v>73</v>
      </c>
    </row>
    <row r="11" spans="1:11" x14ac:dyDescent="0.25">
      <c r="G11" s="46">
        <v>83101</v>
      </c>
      <c r="H11" s="47" t="s">
        <v>74</v>
      </c>
    </row>
    <row r="12" spans="1:11" x14ac:dyDescent="0.25">
      <c r="G12" s="46">
        <v>83112</v>
      </c>
      <c r="H12" s="47" t="s">
        <v>75</v>
      </c>
    </row>
    <row r="13" spans="1:11" x14ac:dyDescent="0.25">
      <c r="G13" s="46">
        <v>83229</v>
      </c>
      <c r="H13" s="47" t="s">
        <v>76</v>
      </c>
    </row>
    <row r="14" spans="1:11" x14ac:dyDescent="0.25">
      <c r="G14" s="46">
        <v>83233</v>
      </c>
      <c r="H14" s="47" t="s">
        <v>77</v>
      </c>
    </row>
    <row r="15" spans="1:11" x14ac:dyDescent="0.25">
      <c r="G15" s="46">
        <v>83544</v>
      </c>
      <c r="H15" s="47" t="s">
        <v>78</v>
      </c>
    </row>
    <row r="16" spans="1:11" x14ac:dyDescent="0.25">
      <c r="G16" s="46">
        <v>83123</v>
      </c>
      <c r="H16" s="47" t="s">
        <v>79</v>
      </c>
    </row>
    <row r="17" spans="7:8" x14ac:dyDescent="0.25">
      <c r="G17" s="46">
        <v>83104</v>
      </c>
      <c r="H17" s="47" t="s">
        <v>109</v>
      </c>
    </row>
    <row r="18" spans="7:8" x14ac:dyDescent="0.25">
      <c r="G18" s="46">
        <v>83104</v>
      </c>
      <c r="H18" s="47" t="s">
        <v>112</v>
      </c>
    </row>
    <row r="19" spans="7:8" x14ac:dyDescent="0.25">
      <c r="G19" s="46">
        <v>83547</v>
      </c>
      <c r="H19" s="47" t="s">
        <v>80</v>
      </c>
    </row>
    <row r="20" spans="7:8" x14ac:dyDescent="0.25">
      <c r="G20" s="46">
        <v>83043</v>
      </c>
      <c r="H20" s="48" t="s">
        <v>81</v>
      </c>
    </row>
    <row r="21" spans="7:8" x14ac:dyDescent="0.25">
      <c r="G21" s="46">
        <v>83043</v>
      </c>
      <c r="H21" s="48" t="s">
        <v>113</v>
      </c>
    </row>
    <row r="22" spans="7:8" x14ac:dyDescent="0.25">
      <c r="G22" s="46">
        <v>83043</v>
      </c>
      <c r="H22" s="48" t="s">
        <v>114</v>
      </c>
    </row>
    <row r="23" spans="7:8" x14ac:dyDescent="0.25">
      <c r="G23" s="46">
        <v>83093</v>
      </c>
      <c r="H23" s="47" t="s">
        <v>82</v>
      </c>
    </row>
    <row r="24" spans="7:8" x14ac:dyDescent="0.25">
      <c r="G24" s="46">
        <v>83254</v>
      </c>
      <c r="H24" s="47" t="s">
        <v>83</v>
      </c>
    </row>
    <row r="25" spans="7:8" x14ac:dyDescent="0.25">
      <c r="G25" s="46">
        <v>83052</v>
      </c>
      <c r="H25" s="47" t="s">
        <v>84</v>
      </c>
    </row>
    <row r="26" spans="7:8" x14ac:dyDescent="0.25">
      <c r="G26" s="46">
        <v>83256</v>
      </c>
      <c r="H26" s="47" t="s">
        <v>85</v>
      </c>
    </row>
    <row r="27" spans="7:8" x14ac:dyDescent="0.25">
      <c r="G27" s="46">
        <v>83533</v>
      </c>
      <c r="H27" s="47" t="s">
        <v>86</v>
      </c>
    </row>
    <row r="28" spans="7:8" x14ac:dyDescent="0.25">
      <c r="G28" s="46">
        <v>83125</v>
      </c>
      <c r="H28" s="47" t="s">
        <v>87</v>
      </c>
    </row>
    <row r="29" spans="7:8" x14ac:dyDescent="0.25">
      <c r="G29" s="46">
        <v>83549</v>
      </c>
      <c r="H29" s="47" t="s">
        <v>88</v>
      </c>
    </row>
    <row r="30" spans="7:8" x14ac:dyDescent="0.25">
      <c r="G30" s="46">
        <v>83620</v>
      </c>
      <c r="H30" s="47" t="s">
        <v>89</v>
      </c>
    </row>
    <row r="31" spans="7:8" x14ac:dyDescent="0.25">
      <c r="G31" s="46">
        <v>83556</v>
      </c>
      <c r="H31" s="47" t="s">
        <v>90</v>
      </c>
    </row>
    <row r="32" spans="7:8" x14ac:dyDescent="0.25">
      <c r="G32" s="46">
        <v>83109</v>
      </c>
      <c r="H32" s="47" t="s">
        <v>91</v>
      </c>
    </row>
    <row r="33" spans="7:8" x14ac:dyDescent="0.25">
      <c r="G33" s="46">
        <v>83257</v>
      </c>
      <c r="H33" s="47" t="s">
        <v>92</v>
      </c>
    </row>
    <row r="34" spans="7:8" x14ac:dyDescent="0.25">
      <c r="G34" s="46">
        <v>83128</v>
      </c>
      <c r="H34" s="47" t="s">
        <v>93</v>
      </c>
    </row>
    <row r="35" spans="7:8" x14ac:dyDescent="0.25">
      <c r="G35" s="46">
        <v>83129</v>
      </c>
      <c r="H35" s="47" t="s">
        <v>94</v>
      </c>
    </row>
    <row r="36" spans="7:8" x14ac:dyDescent="0.25">
      <c r="G36" s="46">
        <v>83552</v>
      </c>
      <c r="H36" s="47" t="s">
        <v>95</v>
      </c>
    </row>
    <row r="37" spans="7:8" x14ac:dyDescent="0.25">
      <c r="G37" s="46">
        <v>83059</v>
      </c>
      <c r="H37" s="47" t="s">
        <v>96</v>
      </c>
    </row>
    <row r="38" spans="7:8" x14ac:dyDescent="0.25">
      <c r="G38" s="46">
        <v>83539</v>
      </c>
      <c r="H38" s="47" t="s">
        <v>97</v>
      </c>
    </row>
    <row r="39" spans="7:8" x14ac:dyDescent="0.25">
      <c r="G39" s="46">
        <v>83209</v>
      </c>
      <c r="H39" s="47" t="s">
        <v>98</v>
      </c>
    </row>
    <row r="40" spans="7:8" x14ac:dyDescent="0.25">
      <c r="G40" s="46">
        <v>83134</v>
      </c>
      <c r="H40" s="47" t="s">
        <v>99</v>
      </c>
    </row>
    <row r="41" spans="7:8" x14ac:dyDescent="0.25">
      <c r="G41" s="46">
        <v>83561</v>
      </c>
      <c r="H41" s="47" t="s">
        <v>100</v>
      </c>
    </row>
    <row r="42" spans="7:8" x14ac:dyDescent="0.25">
      <c r="G42" s="46">
        <v>83083</v>
      </c>
      <c r="H42" s="47" t="s">
        <v>101</v>
      </c>
    </row>
    <row r="43" spans="7:8" x14ac:dyDescent="0.25">
      <c r="G43" s="46">
        <v>83253</v>
      </c>
      <c r="H43" s="47" t="s">
        <v>102</v>
      </c>
    </row>
    <row r="44" spans="7:8" x14ac:dyDescent="0.25">
      <c r="G44" s="46">
        <v>83543</v>
      </c>
      <c r="H44" s="47" t="s">
        <v>103</v>
      </c>
    </row>
    <row r="45" spans="7:8" x14ac:dyDescent="0.25">
      <c r="G45" s="46">
        <v>83135</v>
      </c>
      <c r="H45" s="47" t="s">
        <v>104</v>
      </c>
    </row>
    <row r="46" spans="7:8" x14ac:dyDescent="0.25">
      <c r="G46" s="46">
        <v>83137</v>
      </c>
      <c r="H46" s="47" t="s">
        <v>105</v>
      </c>
    </row>
    <row r="47" spans="7:8" x14ac:dyDescent="0.25">
      <c r="G47" s="46">
        <v>83139</v>
      </c>
      <c r="H47" s="47" t="s">
        <v>106</v>
      </c>
    </row>
    <row r="48" spans="7:8" x14ac:dyDescent="0.25">
      <c r="G48" s="46">
        <v>83564</v>
      </c>
      <c r="H48" s="47" t="s">
        <v>107</v>
      </c>
    </row>
    <row r="49" spans="7:8" x14ac:dyDescent="0.25">
      <c r="G49" s="46">
        <v>83071</v>
      </c>
      <c r="H49" s="47" t="s">
        <v>108</v>
      </c>
    </row>
    <row r="50" spans="7:8" x14ac:dyDescent="0.25">
      <c r="G50" s="46">
        <v>83569</v>
      </c>
      <c r="H50" s="47" t="s">
        <v>110</v>
      </c>
    </row>
    <row r="51" spans="7:8" x14ac:dyDescent="0.25">
      <c r="G51" s="46">
        <v>83512</v>
      </c>
      <c r="H51" s="47" t="s">
        <v>111</v>
      </c>
    </row>
    <row r="52" spans="7:8" x14ac:dyDescent="0.25">
      <c r="G52" s="46">
        <v>83022</v>
      </c>
      <c r="H52" s="47" t="s">
        <v>115</v>
      </c>
    </row>
    <row r="53" spans="7:8" x14ac:dyDescent="0.25">
      <c r="G53" s="46">
        <v>83024</v>
      </c>
      <c r="H53" s="47" t="s">
        <v>115</v>
      </c>
    </row>
    <row r="54" spans="7:8" x14ac:dyDescent="0.25">
      <c r="G54" s="46">
        <v>83026</v>
      </c>
      <c r="H54" s="47" t="s">
        <v>115</v>
      </c>
    </row>
    <row r="55" spans="7:8" x14ac:dyDescent="0.25">
      <c r="G55" s="46">
        <v>0</v>
      </c>
      <c r="H55" s="47"/>
    </row>
  </sheetData>
  <conditionalFormatting sqref="G1:G55">
    <cfRule type="duplicateValues" dxfId="1" priority="202"/>
  </conditionalFormatting>
  <conditionalFormatting sqref="G2:G21">
    <cfRule type="duplicateValues" dxfId="0" priority="2"/>
  </conditionalFormatting>
  <pageMargins left="0.7" right="0.7" top="0.78740157499999996" bottom="0.78740157499999996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20</vt:i4>
      </vt:variant>
    </vt:vector>
  </HeadingPairs>
  <TitlesOfParts>
    <vt:vector size="24" baseType="lpstr">
      <vt:lpstr>Erfassung Betreuer Teilnehmende</vt:lpstr>
      <vt:lpstr>Angaben für Online-Antrag</vt:lpstr>
      <vt:lpstr>Angaben f. Jugendhilfestatistik</vt:lpstr>
      <vt:lpstr>Hilfstabellen</vt:lpstr>
      <vt:lpstr>Anfang</vt:lpstr>
      <vt:lpstr>Auswahl</vt:lpstr>
      <vt:lpstr>AW_X</vt:lpstr>
      <vt:lpstr>BT</vt:lpstr>
      <vt:lpstr>Ende</vt:lpstr>
      <vt:lpstr>Geschlecht</vt:lpstr>
      <vt:lpstr>Organ</vt:lpstr>
      <vt:lpstr>Ort</vt:lpstr>
      <vt:lpstr>Personen</vt:lpstr>
      <vt:lpstr>PLZ</vt:lpstr>
      <vt:lpstr>SumA</vt:lpstr>
      <vt:lpstr>SumB</vt:lpstr>
      <vt:lpstr>Teil1</vt:lpstr>
      <vt:lpstr>Teil2</vt:lpstr>
      <vt:lpstr>Titel</vt:lpstr>
      <vt:lpstr>TN_F1</vt:lpstr>
      <vt:lpstr>TN_LK</vt:lpstr>
      <vt:lpstr>TN_NLK</vt:lpstr>
      <vt:lpstr>TN_Stadt</vt:lpstr>
      <vt:lpstr>Ü2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Erhard Closs</dc:creator>
  <cp:lastModifiedBy>Juliane Mitterer</cp:lastModifiedBy>
  <cp:lastPrinted>2024-05-06T09:08:00Z</cp:lastPrinted>
  <dcterms:created xsi:type="dcterms:W3CDTF">2015-06-05T18:19:34Z</dcterms:created>
  <dcterms:modified xsi:type="dcterms:W3CDTF">2024-05-06T09:27:43Z</dcterms:modified>
</cp:coreProperties>
</file>